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hms\docs\"/>
    </mc:Choice>
  </mc:AlternateContent>
  <xr:revisionPtr revIDLastSave="0" documentId="13_ncr:1_{568B4097-EE71-46C1-B7EE-CC24C8ED0F92}" xr6:coauthVersionLast="47" xr6:coauthVersionMax="47" xr10:uidLastSave="{00000000-0000-0000-0000-000000000000}"/>
  <bookViews>
    <workbookView xWindow="-120" yWindow="-120" windowWidth="29040" windowHeight="15720" activeTab="3" xr2:uid="{00000000-000D-0000-FFFF-FFFF00000000}"/>
  </bookViews>
  <sheets>
    <sheet name="Overview" sheetId="1" r:id="rId1"/>
    <sheet name="UI Fields" sheetId="2" r:id="rId2"/>
    <sheet name="PDF Fields" sheetId="3" r:id="rId3"/>
    <sheet name="UI→PDF Mapping" sheetId="4" r:id="rId4"/>
    <sheet name="Gaps" sheetId="5" r:id="rId5"/>
  </sheets>
  <definedNames>
    <definedName name="_xlnm._FilterDatabase" localSheetId="4" hidden="1">Gaps!$A$1:$H$41</definedName>
    <definedName name="_xlnm._FilterDatabase" localSheetId="2" hidden="1">'PDF Fields'!$A$1:$K$121</definedName>
    <definedName name="_xlnm._FilterDatabase" localSheetId="1" hidden="1">'UI Fields'!$A$1:$R$192</definedName>
    <definedName name="_xlnm._FilterDatabase" localSheetId="3" hidden="1">'UI→PDF Mapping'!$A$1:$M$192</definedName>
    <definedName name="_xlnm.Print_Titles" localSheetId="4">Gaps!$1:$1</definedName>
    <definedName name="_xlnm.Print_Titles" localSheetId="2">'PDF Fields'!$1:$1</definedName>
    <definedName name="_xlnm.Print_Titles" localSheetId="1">'UI Fields'!$1:$1</definedName>
    <definedName name="_xlnm.Print_Titles" localSheetId="3">'UI→PDF Mapping'!$1:$1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1" l="1"/>
  <c r="C44" i="1"/>
  <c r="C43" i="1"/>
  <c r="C42" i="1"/>
  <c r="C41" i="1"/>
  <c r="C40" i="1"/>
  <c r="C39" i="1"/>
  <c r="C38" i="1"/>
  <c r="C37" i="1"/>
  <c r="C36" i="1"/>
  <c r="G31" i="1"/>
  <c r="G30" i="1"/>
  <c r="G29" i="1"/>
  <c r="G28" i="1"/>
  <c r="G23" i="1"/>
  <c r="G22" i="1"/>
  <c r="G21" i="1"/>
  <c r="G20" i="1"/>
  <c r="G19" i="1"/>
  <c r="G18" i="1"/>
  <c r="G17" i="1"/>
  <c r="G16" i="1"/>
  <c r="G15" i="1"/>
  <c r="G14" i="1"/>
  <c r="G24" i="1" s="1"/>
</calcChain>
</file>

<file path=xl/sharedStrings.xml><?xml version="1.0" encoding="utf-8"?>
<sst xmlns="http://schemas.openxmlformats.org/spreadsheetml/2006/main" count="7454" uniqueCount="2518">
  <si>
    <t>IPD Module Overview: Admission page fields and IP printouts</t>
  </si>
  <si>
    <t>Page /clinical/ipd/admissions/:id (AdmissionViewPage). Each UI field is mapped to the letterhead PDF and print fields that use it. Built from the source code on origin/main @ cffa480 (2026-10-30); every row cites the file and line it comes from.</t>
  </si>
  <si>
    <t>Module summary</t>
  </si>
  <si>
    <t>Module</t>
  </si>
  <si>
    <t>In Patient Department: backend HMS.Modules.IPD (admissions, beds/wards, clinical records, IPD billing) plus HMS.Modules.DischargeSummary.</t>
  </si>
  <si>
    <t>Route</t>
  </si>
  <si>
    <t>/clinical/ipd/admissions/:id, in ipdRoutes behind feature 'ipd': frontend/web/src/routes/routes.tsx:436</t>
  </si>
  <si>
    <t>Page</t>
  </si>
  <si>
    <t>frontend/web/src/pages/ipd/AdmissionViewPage.tsx:46. Header and Patient Summary card, then 9 tabs.</t>
  </si>
  <si>
    <t>Discharge Summary pages</t>
  </si>
  <si>
    <t>/clinical/ipd/admissions/:admissionId/discharge-summary(/edit), reached from the Discharge tab: frontend/web/src/routes/routes.tsx:580</t>
  </si>
  <si>
    <t>Data contracts</t>
  </si>
  <si>
    <t>Frontend DTOs in frontend/shared/dtos/ipd and dtos/dischargeSummary; backend contracts in backend/src/Modules/IPD/HMS.Modules.IPD/Contracts and DischargeSummary/Contracts.</t>
  </si>
  <si>
    <t>Related decisions</t>
  </si>
  <si>
    <t>ADR-057/058/059 (Discharge Summary), ADR-060 (vitals, progress notes), ADR-061 (nursing), ADR-062 (doctor orders), ADR-063 (medication + MAR), ADR-064 (lab), ADR-065 (order charges), ADR-066 (final bill), ADR-067 (advance), ADR-104 (IP No on advance); PR #382 (Discharge Summary letterhead PDF).</t>
  </si>
  <si>
    <t>Tabs on the admission page</t>
  </si>
  <si>
    <t>#</t>
  </si>
  <si>
    <t>Tab</t>
  </si>
  <si>
    <t>Sections / cards</t>
  </si>
  <si>
    <t>Component file(s)</t>
  </si>
  <si>
    <t>API (backend)</t>
  </si>
  <si>
    <t>Permission</t>
  </si>
  <si>
    <t>UI field rows</t>
  </si>
  <si>
    <t>Shown when</t>
  </si>
  <si>
    <t>Header (above tabs)</t>
  </si>
  <si>
    <t>Page banner; Patient Summary card; Issue IP No dialog</t>
  </si>
  <si>
    <t>pages/ipd/AdmissionViewPage.tsx; IssueIpNumberDialog.tsx</t>
  </si>
  <si>
    <t>GET /api/v1/ipd/admissions/{id}; POST …/{id}/issue-ip-number</t>
  </si>
  <si>
    <t>clinical-care.view; finance-billing.discount-approve</t>
  </si>
  <si>
    <t>Always</t>
  </si>
  <si>
    <t>Overview</t>
  </si>
  <si>
    <t>Admission Summary; Transfer Bed dialog; Transfer History; Bed Stay History</t>
  </si>
  <si>
    <t>AdmissionViewPage.tsx; TransferBedDialog.tsx; TransferHistoryPanel.tsx; BedStayHistoryPanel.tsx</t>
  </si>
  <si>
    <t>GET …/{id}; POST …/{id}/transfer-bed; GET …/{id}/transfer-history; GET …/{id}/bed-history</t>
  </si>
  <si>
    <t>clinical-care.view / .edit</t>
  </si>
  <si>
    <t>Default tab</t>
  </si>
  <si>
    <t>Clinical</t>
  </si>
  <si>
    <t>Progress Notes</t>
  </si>
  <si>
    <t>ProgressNotesPanel.tsx</t>
  </si>
  <si>
    <t>POST/GET …/{admissionId}/progress-notes</t>
  </si>
  <si>
    <t>clinical-care.create / .view</t>
  </si>
  <si>
    <t>Orders</t>
  </si>
  <si>
    <t>Doctor Orders</t>
  </si>
  <si>
    <t>DoctorOrdersPanel.tsx</t>
  </si>
  <si>
    <t>POST/GET …/doctor-orders; POST …/{orderId}/advance, /cancel</t>
  </si>
  <si>
    <t>clinical-care.create / .view / .edit</t>
  </si>
  <si>
    <t>Medication</t>
  </si>
  <si>
    <t>Medication Orders; Medication Administration Record (MAR)</t>
  </si>
  <si>
    <t>MedicationOrdersPanel.tsx; MedicationAdministrationPanel.tsx</t>
  </si>
  <si>
    <t>POST/GET …/medication-orders; POST …/{orderId}/discontinue; POST/GET …/{orderId}/administrations</t>
  </si>
  <si>
    <t>Laboratory</t>
  </si>
  <si>
    <t>Lab Orders (place + list)</t>
  </si>
  <si>
    <t>LabOrdersPanel.tsx</t>
  </si>
  <si>
    <t>POST/GET …/lab-orders; details on /diagnostics/lab/orders/{id}</t>
  </si>
  <si>
    <t>Vitals</t>
  </si>
  <si>
    <t>VitalsPanel.tsx</t>
  </si>
  <si>
    <t>POST/GET …/vitals</t>
  </si>
  <si>
    <t>Nursing</t>
  </si>
  <si>
    <t>Nursing Assessment; Nursing Notes</t>
  </si>
  <si>
    <t>NursingAssessmentPanel.tsx; NursingNotesPanel.tsx</t>
  </si>
  <si>
    <t>POST/GET …/nursing-assessments, …/nursing-notes</t>
  </si>
  <si>
    <t>Billing</t>
  </si>
  <si>
    <t>Charges; Advance / Deposit; Final Bill</t>
  </si>
  <si>
    <t>ChargesPanel.tsx; AdvancePanel.tsx; FinalBillCard.tsx</t>
  </si>
  <si>
    <t>POST/GET …/charges; POST/GET …/advances; POST …/final-bill</t>
  </si>
  <si>
    <t>clinical-care (charges); finance-billing.create / .view (advance, final bill)</t>
  </si>
  <si>
    <t>Final Bill after discharge</t>
  </si>
  <si>
    <t>Discharge</t>
  </si>
  <si>
    <t>Discharge form (while Admitted); Discharge Summary card (once Discharged), leading to the Discharge Summary edit/view pages</t>
  </si>
  <si>
    <t>DischargeForm.tsx; DischargeSummaryEntryCard.tsx; pages/dischargeSummary/*; features/dischargeSummary/components/*</t>
  </si>
  <si>
    <t>POST …/{id}/discharge; GET/POST /api/v1/admissions/{id}/discharge-summary; PUT /api/v1/discharge-summaries/{id}, /finalize, /ai/draft</t>
  </si>
  <si>
    <t>clinical-care.edit; discharge-summary.view / .create / .edit / .finalize</t>
  </si>
  <si>
    <t>Form while Admitted; summary once Discharged</t>
  </si>
  <si>
    <t>Total</t>
  </si>
  <si>
    <t>IP printouts (letterhead PDF and print)</t>
  </si>
  <si>
    <t>Printout</t>
  </si>
  <si>
    <t>Technology</t>
  </si>
  <si>
    <t>Triggered from</t>
  </si>
  <si>
    <t>Source file(s)</t>
  </si>
  <si>
    <t>Letterhead</t>
  </si>
  <si>
    <t>PDF field rows</t>
  </si>
  <si>
    <t>Notes</t>
  </si>
  <si>
    <t>Discharge Summary PDF (letterhead)</t>
  </si>
  <si>
    <t>jsPDF + jspdf-autotable, built in the browser; A4 portrait; downloads discharge-summary-{admissionNumber}.pdf</t>
  </si>
  <si>
    <t>Discharge Summary view page › Download PDF; IPD Admissions list › PDF (Discharged rows)</t>
  </si>
  <si>
    <t>frontend/web/src/features/dischargeSummary/exportDischargeSummaryPdf.ts:292
frontend/web/src/features/dischargeSummary/hooks/useDischargeSummaryPdfExport.ts:27
frontend/web/src/features/ipd/admissions/components/AdmissionTable.tsx:66</t>
  </si>
  <si>
    <t>Full: logo, consultant panel, consultants footer, watermark</t>
  </si>
  <si>
    <t>PR #382. Prints a DRAFT marker until finalized.</t>
  </si>
  <si>
    <t>IP Final Bill – Invoice print</t>
  </si>
  <si>
    <t>Browser print (window.print) of a hidden print template; page size from Branding › Print</t>
  </si>
  <si>
    <t>Billing tab › Generate / View Final Bill › /finance/accounts/{invoiceId} › Print</t>
  </si>
  <si>
    <t>frontend/web/src/features/billing/components/InvoicePrintTemplate.tsx:25
frontend/web/src/features/billing/components/InvoiceDetailCard.tsx:59
backend/src/Modules/IPD/HMS.Modules.IPD/Application/IPDBillingService.cs:87</t>
  </si>
  <si>
    <t>Logo and hospital name header</t>
  </si>
  <si>
    <t>Shared Billing invoice template; lines come from the IPD Charges ledger (ADR-066). Advance not shown (ADR-067).</t>
  </si>
  <si>
    <t>Laboratory Report print</t>
  </si>
  <si>
    <t>Browser print of a hidden print template</t>
  </si>
  <si>
    <t>Laboratory tab › View Details › /diagnostics/lab/orders/{id} › Print</t>
  </si>
  <si>
    <t>frontend/web/src/features/laboratory/components/LabReportPrintTemplate.tsx:18
frontend/web/src/pages/diagnostics/LabOrderDetailPage.tsx:341</t>
  </si>
  <si>
    <t>Shared Laboratory report; IPD orders print Source "IPD" (ADR-064).</t>
  </si>
  <si>
    <t>Pharmacy Bill print (IP credit)</t>
  </si>
  <si>
    <t>Browser print (A4 or thermal)</t>
  </si>
  <si>
    <t>Pharmacy › Counter / Sale detail (not the admission page)</t>
  </si>
  <si>
    <t>frontend/web/src/features/pharmacy/counter/BillPrint.tsx:25
frontend/web/src/pages/pharmacy/CounterPage.tsx:118</t>
  </si>
  <si>
    <t>Pharmacy name header</t>
  </si>
  <si>
    <t>Related printout: an IP credit sale posts a Pharmacy charge to the admission. Only IP-relevant fields are listed.</t>
  </si>
  <si>
    <t>Not found in the code</t>
  </si>
  <si>
    <t>—</t>
  </si>
  <si>
    <t>Searched features/ipd, pages/ipd and features/dischargeSummary for jsPDF, window.print and print-target</t>
  </si>
  <si>
    <t>No admission slip / face sheet, case sheet, consent form, advance receipt, bed transfer slip, MAR, nursing or vitals chart printout.</t>
  </si>
  <si>
    <t>Coverage at a glance</t>
  </si>
  <si>
    <t>Measure</t>
  </si>
  <si>
    <t>Count</t>
  </si>
  <si>
    <t>How it is counted</t>
  </si>
  <si>
    <t>UI fields and actions listed</t>
  </si>
  <si>
    <t>Rows on UI Fields</t>
  </si>
  <si>
    <t>Printed</t>
  </si>
  <si>
    <t>The same stored value appears on a printout</t>
  </si>
  <si>
    <t>Printed via copy/derived</t>
  </si>
  <si>
    <t>Copied into the Discharge Summary, or a derived record (charge, lab order) is printed</t>
  </si>
  <si>
    <t>AI-draft input only</t>
  </si>
  <si>
    <t>Sent to "Draft with AI" only; never printed as entered</t>
  </si>
  <si>
    <t>Not printed</t>
  </si>
  <si>
    <t>Captured or shown, but on no printout</t>
  </si>
  <si>
    <t>Action (no data)</t>
  </si>
  <si>
    <t>Buttons and links</t>
  </si>
  <si>
    <t>PDF / print fields listed</t>
  </si>
  <si>
    <t>Rows on PDF Fields</t>
  </si>
  <si>
    <t>PDF fields with no UI source</t>
  </si>
  <si>
    <t>Branding, masters, computed, static or system values</t>
  </si>
  <si>
    <t>Gaps listed</t>
  </si>
  <si>
    <t>Rows on Gaps</t>
  </si>
  <si>
    <t>High-priority gaps</t>
  </si>
  <si>
    <t>Suggested priority High</t>
  </si>
  <si>
    <t>How to read this workbook</t>
  </si>
  <si>
    <t>UI Fields</t>
  </si>
  <si>
    <t>Every field, column and action on the admission page and its Discharge Summary pages: tab, section, label, control, required/read-only, validation, the DTO and backend contract field it binds to, API, permission, and which printouts use it. Source columns give file:line.</t>
  </si>
  <si>
    <t>PDF Fields</t>
  </si>
  <si>
    <t>Every field on each IP printout: page/section, printed label and format, where the value comes from (Source Type), the UI field IDs that feed it ("—" = no UI source), when it is shown, and the file:line that draws it.</t>
  </si>
  <si>
    <t>UI→PDF Mapping</t>
  </si>
  <si>
    <t>One row per UI field, with a column per printout listing "Section › Label" where it appears. Bracketed text explains a copy or derived flow. Filter Mapping Status to find what is not printed.</t>
  </si>
  <si>
    <t>Gaps</t>
  </si>
  <si>
    <t>Captured but not printed; printed with no UI source; label mismatches; other observations. Each has evidence (file:line), a suggested action and a suggested priority (my assessment, for discussion).</t>
  </si>
  <si>
    <t>Mapping Status</t>
  </si>
  <si>
    <t>Printed (green) · Printed via copy/derived (blue) · AI-draft input only (yellow) · Not printed (red) · Action (no data) (grey).</t>
  </si>
  <si>
    <t>IDs</t>
  </si>
  <si>
    <t>HDR header · OVW Overview · CLN Clinical · ORD Orders · MED Medication · LAB Laboratory · VIT Vitals · NUR Nursing · BIL Billing · DIS Discharge tab · DSS Discharge Summary pages · PDF-DS / PDF-INV / PDF-LR / PDF-PH printout fields · GAP gaps.</t>
  </si>
  <si>
    <t>Paths</t>
  </si>
  <si>
    <t>Repo-relative. frontend/web/src = UI, frontend/shared = DTOs, backend/src/Modules = API contracts. Line numbers are as of cffa480.</t>
  </si>
  <si>
    <t>ID</t>
  </si>
  <si>
    <t>Section / Card</t>
  </si>
  <si>
    <t>UI Label</t>
  </si>
  <si>
    <t>List / Display Label</t>
  </si>
  <si>
    <t>Control Type</t>
  </si>
  <si>
    <t>Required</t>
  </si>
  <si>
    <t>Read-only</t>
  </si>
  <si>
    <t>Validation / Options / When shown</t>
  </si>
  <si>
    <t>DTO Field (frontend/shared)</t>
  </si>
  <si>
    <t>Backend Contract Field</t>
  </si>
  <si>
    <t>API Endpoint</t>
  </si>
  <si>
    <t>Printed On</t>
  </si>
  <si>
    <t>UI Source (file:line)</t>
  </si>
  <si>
    <t>DTO Source (file:line)</t>
  </si>
  <si>
    <t>Backend Source (file:line)</t>
  </si>
  <si>
    <t>HDR-01</t>
  </si>
  <si>
    <t>Page banner</t>
  </si>
  <si>
    <t>Patient name (page title)</t>
  </si>
  <si>
    <t>Banner title, links to the patient</t>
  </si>
  <si>
    <t>Display (link)</t>
  </si>
  <si>
    <t>Yes</t>
  </si>
  <si>
    <t>Admission.patientName</t>
  </si>
  <si>
    <t>AdmissionResponse.PatientName</t>
  </si>
  <si>
    <t>GET /api/v1/ipd/admissions/{id}</t>
  </si>
  <si>
    <t>clinical-care.view</t>
  </si>
  <si>
    <t>Discharge Summary PDF (letterhead); IP Final Bill – Invoice print; Laboratory Report print; Pharmacy Bill print (IP credit)</t>
  </si>
  <si>
    <t>frontend/web/src/pages/ipd/AdmissionViewPage.tsx:122</t>
  </si>
  <si>
    <t>frontend/shared/dtos/ipd/admission.ts:73</t>
  </si>
  <si>
    <t>backend/src/Modules/IPD/HMS.Modules.IPD/Contracts/AdmissionContracts.cs:83</t>
  </si>
  <si>
    <t>HDR-02</t>
  </si>
  <si>
    <t>Admission status</t>
  </si>
  <si>
    <t>Badge beside the title</t>
  </si>
  <si>
    <t>Badge</t>
  </si>
  <si>
    <t>Requested | Admitted | Discharged | Cancelled</t>
  </si>
  <si>
    <t>Admission.status</t>
  </si>
  <si>
    <t>AdmissionResponse.Status</t>
  </si>
  <si>
    <t>frontend/web/src/pages/ipd/AdmissionViewPage.tsx:125</t>
  </si>
  <si>
    <t>frontend/shared/dtos/ipd/admission.ts:90</t>
  </si>
  <si>
    <t>backend/src/Modules/IPD/HMS.Modules.IPD/Contracts/AdmissionContracts.cs:102</t>
  </si>
  <si>
    <t>HDR-03</t>
  </si>
  <si>
    <t>Admission number</t>
  </si>
  <si>
    <t>Banner subtitle (ADM-…)</t>
  </si>
  <si>
    <t>Display</t>
  </si>
  <si>
    <t>Generated on admission</t>
  </si>
  <si>
    <t>Admission.admissionNumber</t>
  </si>
  <si>
    <t>AdmissionResponse.AdmissionNumber</t>
  </si>
  <si>
    <t>frontend/web/src/pages/ipd/AdmissionViewPage.tsx:126</t>
  </si>
  <si>
    <t>frontend/shared/dtos/ipd/admission.ts:69</t>
  </si>
  <si>
    <t>backend/src/Modules/IPD/HMS.Modules.IPD/Contracts/AdmissionContracts.cs:79</t>
  </si>
  <si>
    <t>HDR-04</t>
  </si>
  <si>
    <t>Patient Summary card</t>
  </si>
  <si>
    <t>UHID</t>
  </si>
  <si>
    <t>Admission.uhid</t>
  </si>
  <si>
    <t>AdmissionResponse.Uhid</t>
  </si>
  <si>
    <t>frontend/web/src/pages/ipd/AdmissionViewPage.tsx:137</t>
  </si>
  <si>
    <t>frontend/shared/dtos/ipd/admission.ts:72</t>
  </si>
  <si>
    <t>backend/src/Modules/IPD/HMS.Modules.IPD/Contracts/AdmissionContracts.cs:82</t>
  </si>
  <si>
    <t>HDR-05</t>
  </si>
  <si>
    <t>Age / Gender</t>
  </si>
  <si>
    <t>Shown as "{age} / {gender}"</t>
  </si>
  <si>
    <t>Admission.age / Admission.gender</t>
  </si>
  <si>
    <t>AdmissionResponse.Age / AdmissionResponse.Gender</t>
  </si>
  <si>
    <t>frontend/web/src/pages/ipd/AdmissionViewPage.tsx:138</t>
  </si>
  <si>
    <t>frontend/shared/dtos/ipd/admission.ts:74</t>
  </si>
  <si>
    <t>backend/src/Modules/IPD/HMS.Modules.IPD/Contracts/AdmissionContracts.cs:84</t>
  </si>
  <si>
    <t>HDR-06</t>
  </si>
  <si>
    <t>Consultant</t>
  </si>
  <si>
    <t>Set on the Admission create page</t>
  </si>
  <si>
    <t>Admission.consultantName</t>
  </si>
  <si>
    <t>AdmissionResponse.ConsultantName</t>
  </si>
  <si>
    <t>Discharge Summary PDF (letterhead); Pharmacy Bill print (IP credit)</t>
  </si>
  <si>
    <t>frontend/web/src/pages/ipd/AdmissionViewPage.tsx:139</t>
  </si>
  <si>
    <t>frontend/shared/dtos/ipd/admission.ts:79</t>
  </si>
  <si>
    <t>backend/src/Modules/IPD/HMS.Modules.IPD/Contracts/AdmissionContracts.cs:89</t>
  </si>
  <si>
    <t>HDR-07</t>
  </si>
  <si>
    <t>Ward / Bed</t>
  </si>
  <si>
    <t>The current bed; a transfer changes it</t>
  </si>
  <si>
    <t>Admission.wardName / Admission.bedNumber</t>
  </si>
  <si>
    <t>AdmissionResponse.WardName / AdmissionResponse.BedNumber</t>
  </si>
  <si>
    <t>frontend/web/src/pages/ipd/AdmissionViewPage.tsx:140</t>
  </si>
  <si>
    <t>frontend/shared/dtos/ipd/admission.ts:82</t>
  </si>
  <si>
    <t>backend/src/Modules/IPD/HMS.Modules.IPD/Contracts/AdmissionContracts.cs:95</t>
  </si>
  <si>
    <t>HDR-08</t>
  </si>
  <si>
    <t>IP No</t>
  </si>
  <si>
    <t>IP No, or an "Advance pending" badge</t>
  </si>
  <si>
    <t>Display / Badge</t>
  </si>
  <si>
    <t>Shown only when the admission has a linked visit (visitId). Issued by the first advance (ADR-104)</t>
  </si>
  <si>
    <t>Admission.ipNumber</t>
  </si>
  <si>
    <t>AdmissionResponse.IpNumber</t>
  </si>
  <si>
    <t>frontend/web/src/pages/ipd/AdmissionViewPage.tsx:143</t>
  </si>
  <si>
    <t>frontend/shared/dtos/ipd/admission.ts:107</t>
  </si>
  <si>
    <t>backend/src/Modules/IPD/HMS.Modules.IPD/Contracts/AdmissionContracts.cs:120</t>
  </si>
  <si>
    <t>HDR-09</t>
  </si>
  <si>
    <t>Issue IP No without advance</t>
  </si>
  <si>
    <t>Button, then a confirm dialog</t>
  </si>
  <si>
    <t>Button</t>
  </si>
  <si>
    <t>Only with a linked visit, no IP No yet, and permission finance-billing.discount-approve</t>
  </si>
  <si>
    <t>POST /api/v1/ipd/admissions/{id}/issue-ip-number</t>
  </si>
  <si>
    <t>finance-billing.discount-approve</t>
  </si>
  <si>
    <t>frontend/web/src/pages/ipd/AdmissionViewPage.tsx:154</t>
  </si>
  <si>
    <t>OVW-01</t>
  </si>
  <si>
    <t>Admission Summary</t>
  </si>
  <si>
    <t>Admission type</t>
  </si>
  <si>
    <t>Emergency | Elective | Transfer (set on create)</t>
  </si>
  <si>
    <t>Admission.admissionType</t>
  </si>
  <si>
    <t>AdmissionResponse.AdmissionType</t>
  </si>
  <si>
    <t>— (AI-draft input only)</t>
  </si>
  <si>
    <t>frontend/web/src/pages/ipd/AdmissionViewPage.tsx:207</t>
  </si>
  <si>
    <t>frontend/shared/dtos/ipd/admission.ts:88</t>
  </si>
  <si>
    <t>backend/src/Modules/IPD/HMS.Modules.IPD/Contracts/AdmissionContracts.cs:100</t>
  </si>
  <si>
    <t>OVW-02</t>
  </si>
  <si>
    <t>Admission date/time</t>
  </si>
  <si>
    <t>Admission.admissionDateTime</t>
  </si>
  <si>
    <t>AdmissionResponse.AdmissionDateTime</t>
  </si>
  <si>
    <t>frontend/web/src/pages/ipd/AdmissionViewPage.tsx:208</t>
  </si>
  <si>
    <t>frontend/shared/dtos/ipd/admission.ts:87</t>
  </si>
  <si>
    <t>backend/src/Modules/IPD/HMS.Modules.IPD/Contracts/AdmissionContracts.cs:99</t>
  </si>
  <si>
    <t>OVW-03</t>
  </si>
  <si>
    <t>Reason for admission</t>
  </si>
  <si>
    <t>Max 500 (set on create)</t>
  </si>
  <si>
    <t>Admission.reasonForAdmission</t>
  </si>
  <si>
    <t>AdmissionResponse.ReasonForAdmission</t>
  </si>
  <si>
    <t>frontend/web/src/pages/ipd/AdmissionViewPage.tsx:209</t>
  </si>
  <si>
    <t>frontend/shared/dtos/ipd/admission.ts:89</t>
  </si>
  <si>
    <t>backend/src/Modules/IPD/HMS.Modules.IPD/Contracts/AdmissionContracts.cs:101</t>
  </si>
  <si>
    <t>OVW-04</t>
  </si>
  <si>
    <t>Discharge date/time</t>
  </si>
  <si>
    <t>Shown after discharge</t>
  </si>
  <si>
    <t>Admission.dischargeDateTime</t>
  </si>
  <si>
    <t>AdmissionResponse.DischargeDateTime</t>
  </si>
  <si>
    <t>frontend/web/src/pages/ipd/AdmissionViewPage.tsx:213</t>
  </si>
  <si>
    <t>frontend/shared/dtos/ipd/admission.ts:92</t>
  </si>
  <si>
    <t>backend/src/Modules/IPD/HMS.Modules.IPD/Contracts/AdmissionContracts.cs:104</t>
  </si>
  <si>
    <t>OVW-05</t>
  </si>
  <si>
    <t>Discharge type</t>
  </si>
  <si>
    <t>Normal | AgainstMedicalAdvice | Referred</t>
  </si>
  <si>
    <t>Admission.dischargeType</t>
  </si>
  <si>
    <t>AdmissionResponse.DischargeType</t>
  </si>
  <si>
    <t>frontend/web/src/pages/ipd/AdmissionViewPage.tsx:216</t>
  </si>
  <si>
    <t>frontend/shared/dtos/ipd/admission.ts:93</t>
  </si>
  <si>
    <t>backend/src/Modules/IPD/HMS.Modules.IPD/Contracts/AdmissionContracts.cs:105</t>
  </si>
  <si>
    <t>OVW-06</t>
  </si>
  <si>
    <t>Final diagnosis</t>
  </si>
  <si>
    <t>Admission.finalDiagnosis</t>
  </si>
  <si>
    <t>AdmissionResponse.FinalDiagnosis</t>
  </si>
  <si>
    <t>frontend/web/src/pages/ipd/AdmissionViewPage.tsx:217</t>
  </si>
  <si>
    <t>frontend/shared/dtos/ipd/admission.ts:94</t>
  </si>
  <si>
    <t>backend/src/Modules/IPD/HMS.Modules.IPD/Contracts/AdmissionContracts.cs:106</t>
  </si>
  <si>
    <t>OVW-07</t>
  </si>
  <si>
    <t>Discharge notes</t>
  </si>
  <si>
    <t>Admission.dischargeNotes</t>
  </si>
  <si>
    <t>AdmissionResponse.DischargeNotes</t>
  </si>
  <si>
    <t>frontend/web/src/pages/ipd/AdmissionViewPage.tsx:218</t>
  </si>
  <si>
    <t>frontend/shared/dtos/ipd/admission.ts:95</t>
  </si>
  <si>
    <t>backend/src/Modules/IPD/HMS.Modules.IPD/Contracts/AdmissionContracts.cs:107</t>
  </si>
  <si>
    <t>OVW-08</t>
  </si>
  <si>
    <t>Follow-up advice</t>
  </si>
  <si>
    <t>Admission.followUpAdvice</t>
  </si>
  <si>
    <t>AdmissionResponse.FollowUpAdvice</t>
  </si>
  <si>
    <t>frontend/web/src/pages/ipd/AdmissionViewPage.tsx:219</t>
  </si>
  <si>
    <t>frontend/shared/dtos/ipd/admission.ts:96</t>
  </si>
  <si>
    <t>backend/src/Modules/IPD/HMS.Modules.IPD/Contracts/AdmissionContracts.cs:108</t>
  </si>
  <si>
    <t>OVW-09</t>
  </si>
  <si>
    <t>Transfer Bed</t>
  </si>
  <si>
    <t>Button (Admitted only)</t>
  </si>
  <si>
    <t>Opens the Transfer Bed dialog</t>
  </si>
  <si>
    <t>frontend/web/src/pages/ipd/AdmissionViewPage.tsx:202</t>
  </si>
  <si>
    <t>OVW-10</t>
  </si>
  <si>
    <t>Transfer Bed dialog</t>
  </si>
  <si>
    <t>Current ward / bed</t>
  </si>
  <si>
    <t>"Currently in {ward}, bed {bed}"</t>
  </si>
  <si>
    <t>POST /api/v1/ipd/admissions/{id}/transfer-bed</t>
  </si>
  <si>
    <t>clinical-care.edit</t>
  </si>
  <si>
    <t>frontend/web/src/features/ipd/admissions/components/TransferBedDialog.tsx:73</t>
  </si>
  <si>
    <t>OVW-11</t>
  </si>
  <si>
    <t>New ward</t>
  </si>
  <si>
    <t>Select</t>
  </si>
  <si>
    <t>No</t>
  </si>
  <si>
    <t>Active wards</t>
  </si>
  <si>
    <t>TransferBedRequest.newWardId</t>
  </si>
  <si>
    <t>TransferBedRequest.NewWardId</t>
  </si>
  <si>
    <t>frontend/web/src/features/ipd/admissions/components/TransferBedDialog.tsx:85</t>
  </si>
  <si>
    <t>frontend/shared/dtos/ipd/admission.ts:51</t>
  </si>
  <si>
    <t>backend/src/Modules/IPD/HMS.Modules.IPD/Contracts/AdmissionContracts.cs:35</t>
  </si>
  <si>
    <t>OVW-12</t>
  </si>
  <si>
    <t>New bed</t>
  </si>
  <si>
    <t>Available beds in the chosen ward; the day's bed charge uses the highest tariff</t>
  </si>
  <si>
    <t>TransferBedRequest.newBedId</t>
  </si>
  <si>
    <t>TransferBedRequest.NewBedId</t>
  </si>
  <si>
    <t>frontend/web/src/features/ipd/admissions/components/TransferBedDialog.tsx:104</t>
  </si>
  <si>
    <t>frontend/shared/dtos/ipd/admission.ts:52</t>
  </si>
  <si>
    <t>backend/src/Modules/IPD/HMS.Modules.IPD/Contracts/AdmissionContracts.cs:36</t>
  </si>
  <si>
    <t>OVW-13</t>
  </si>
  <si>
    <t>Transfer reason (optional)</t>
  </si>
  <si>
    <t>Textarea</t>
  </si>
  <si>
    <t>Max 500</t>
  </si>
  <si>
    <t>TransferBedRequest.transferReason</t>
  </si>
  <si>
    <t>TransferBedRequest.TransferReason</t>
  </si>
  <si>
    <t>frontend/web/src/features/ipd/admissions/components/TransferBedDialog.tsx:132</t>
  </si>
  <si>
    <t>frontend/shared/dtos/ipd/admission.ts:53</t>
  </si>
  <si>
    <t>backend/src/Modules/IPD/HMS.Modules.IPD/Contracts/AdmissionContracts.cs:37</t>
  </si>
  <si>
    <t>OVW-14</t>
  </si>
  <si>
    <t>Transfer History</t>
  </si>
  <si>
    <t>From</t>
  </si>
  <si>
    <t>From (ward / bed)</t>
  </si>
  <si>
    <t>Table column</t>
  </si>
  <si>
    <t>BedTransferHistory.oldWardName / BedTransferHistory.oldBedNumber</t>
  </si>
  <si>
    <t>BedTransferHistoryResponse.OldWardName / BedTransferHistoryResponse.OldBedNumber</t>
  </si>
  <si>
    <t>GET /api/v1/ipd/admissions/{id}/transfer-history</t>
  </si>
  <si>
    <t>frontend/web/src/features/ipd/admissions/components/TransferHistoryPanel.tsx:48</t>
  </si>
  <si>
    <t>frontend/shared/dtos/ipd/admission.ts:130</t>
  </si>
  <si>
    <t>backend/src/Modules/IPD/HMS.Modules.IPD/Contracts/BedTransferHistoryContracts.cs:13</t>
  </si>
  <si>
    <t>OVW-15</t>
  </si>
  <si>
    <t>To</t>
  </si>
  <si>
    <t>To (ward / bed)</t>
  </si>
  <si>
    <t>BedTransferHistory.newWardName / BedTransferHistory.newBedNumber</t>
  </si>
  <si>
    <t>BedTransferHistoryResponse.NewWardName / BedTransferHistoryResponse.NewBedNumber</t>
  </si>
  <si>
    <t>frontend/web/src/features/ipd/admissions/components/TransferHistoryPanel.tsx:54</t>
  </si>
  <si>
    <t>frontend/shared/dtos/ipd/admission.ts:135</t>
  </si>
  <si>
    <t>backend/src/Modules/IPD/HMS.Modules.IPD/Contracts/BedTransferHistoryContracts.cs:18</t>
  </si>
  <si>
    <t>OVW-16</t>
  </si>
  <si>
    <t>Reason</t>
  </si>
  <si>
    <t>BedTransferHistory.transferReason</t>
  </si>
  <si>
    <t>BedTransferHistoryResponse.TransferReason</t>
  </si>
  <si>
    <t>frontend/web/src/features/ipd/admissions/components/TransferHistoryPanel.tsx:56</t>
  </si>
  <si>
    <t>frontend/shared/dtos/ipd/admission.ts:139</t>
  </si>
  <si>
    <t>backend/src/Modules/IPD/HMS.Modules.IPD/Contracts/BedTransferHistoryContracts.cs:22</t>
  </si>
  <si>
    <t>OVW-17</t>
  </si>
  <si>
    <t>When</t>
  </si>
  <si>
    <t>BedTransferHistory.transferredAt</t>
  </si>
  <si>
    <t>BedTransferHistoryResponse.TransferredAt</t>
  </si>
  <si>
    <t>frontend/web/src/features/ipd/admissions/components/TransferHistoryPanel.tsx:57</t>
  </si>
  <si>
    <t>frontend/shared/dtos/ipd/admission.ts:140</t>
  </si>
  <si>
    <t>backend/src/Modules/IPD/HMS.Modules.IPD/Contracts/BedTransferHistoryContracts.cs:23</t>
  </si>
  <si>
    <t>OVW-18</t>
  </si>
  <si>
    <t>Bed Stay History</t>
  </si>
  <si>
    <t>Bed</t>
  </si>
  <si>
    <t>AdmissionBedStay.bedNumber</t>
  </si>
  <si>
    <t>AdmissionBedStayResponse.BedNumber</t>
  </si>
  <si>
    <t>GET /api/v1/ipd/admissions/{id}/bed-history</t>
  </si>
  <si>
    <t>frontend/web/src/features/ipd/admissions/components/BedStayHistoryPanel.tsx:47</t>
  </si>
  <si>
    <t>frontend/shared/dtos/ipd/admission.ts:149</t>
  </si>
  <si>
    <t>backend/src/Modules/IPD/HMS.Modules.IPD/Contracts/AdmissionBedStayContracts.cs:9</t>
  </si>
  <si>
    <t>OVW-19</t>
  </si>
  <si>
    <t>Ward</t>
  </si>
  <si>
    <t>AdmissionBedStay.wardName</t>
  </si>
  <si>
    <t>AdmissionBedStayResponse.WardName</t>
  </si>
  <si>
    <t>frontend/web/src/features/ipd/admissions/components/BedStayHistoryPanel.tsx:48</t>
  </si>
  <si>
    <t>frontend/shared/dtos/ipd/admission.ts:151</t>
  </si>
  <si>
    <t>backend/src/Modules/IPD/HMS.Modules.IPD/Contracts/AdmissionBedStayContracts.cs:11</t>
  </si>
  <si>
    <t>OVW-20</t>
  </si>
  <si>
    <t>AdmissionBedStay.fromDateTime</t>
  </si>
  <si>
    <t>AdmissionBedStayResponse.FromDateTime</t>
  </si>
  <si>
    <t>frontend/web/src/features/ipd/admissions/components/BedStayHistoryPanel.tsx:49</t>
  </si>
  <si>
    <t>frontend/shared/dtos/ipd/admission.ts:152</t>
  </si>
  <si>
    <t>backend/src/Modules/IPD/HMS.Modules.IPD/Contracts/AdmissionBedStayContracts.cs:12</t>
  </si>
  <si>
    <t>OVW-21</t>
  </si>
  <si>
    <t>Blank while the stay is open</t>
  </si>
  <si>
    <t>AdmissionBedStay.toDateTime</t>
  </si>
  <si>
    <t>AdmissionBedStayResponse.ToDateTime</t>
  </si>
  <si>
    <t>frontend/web/src/features/ipd/admissions/components/BedStayHistoryPanel.tsx:51</t>
  </si>
  <si>
    <t>frontend/shared/dtos/ipd/admission.ts:153</t>
  </si>
  <si>
    <t>backend/src/Modules/IPD/HMS.Modules.IPD/Contracts/AdmissionBedStayContracts.cs:13</t>
  </si>
  <si>
    <t>OVW-22</t>
  </si>
  <si>
    <t>Daily Charge</t>
  </si>
  <si>
    <t>Daily Charge (₹)</t>
  </si>
  <si>
    <t>Bed tariff at the time of the stay</t>
  </si>
  <si>
    <t>AdmissionBedStay.dailyCharge</t>
  </si>
  <si>
    <t>AdmissionBedStayResponse.DailyCharge</t>
  </si>
  <si>
    <t>frontend/web/src/features/ipd/admissions/components/BedStayHistoryPanel.tsx:53</t>
  </si>
  <si>
    <t>frontend/shared/dtos/ipd/admission.ts:154</t>
  </si>
  <si>
    <t>backend/src/Modules/IPD/HMS.Modules.IPD/Contracts/AdmissionBedStayContracts.cs:14</t>
  </si>
  <si>
    <t>CLN-01</t>
  </si>
  <si>
    <t>Note date/time</t>
  </si>
  <si>
    <t>Note card heading</t>
  </si>
  <si>
    <t>Date-time picker</t>
  </si>
  <si>
    <t>Valid date-time (years 1900–2999)</t>
  </si>
  <si>
    <t>ProgressNote.noteDateTime</t>
  </si>
  <si>
    <t>ProgressNoteResponse.NoteDateTime</t>
  </si>
  <si>
    <t>POST / GET /api/v1/ipd/admissions/{admissionId}/progress-notes</t>
  </si>
  <si>
    <t>frontend/web/src/features/ipd/admissions/components/ProgressNotesPanel.tsx:129</t>
  </si>
  <si>
    <t>frontend/shared/dtos/ipd/progressNote.ts:17</t>
  </si>
  <si>
    <t>backend/src/Modules/IPD/HMS.Modules.IPD/Contracts/ProgressNoteContracts.cs:19</t>
  </si>
  <si>
    <t>CLN-02</t>
  </si>
  <si>
    <t>Clinical condition</t>
  </si>
  <si>
    <t>Condition</t>
  </si>
  <si>
    <t>Text input</t>
  </si>
  <si>
    <t>Max 2000</t>
  </si>
  <si>
    <t>ProgressNote.clinicalCondition</t>
  </si>
  <si>
    <t>ProgressNoteResponse.ClinicalCondition</t>
  </si>
  <si>
    <t>frontend/web/src/features/ipd/admissions/components/ProgressNotesPanel.tsx:136</t>
  </si>
  <si>
    <t>frontend/shared/dtos/ipd/progressNote.ts:18</t>
  </si>
  <si>
    <t>backend/src/Modules/IPD/HMS.Modules.IPD/Contracts/ProgressNoteContracts.cs:20</t>
  </si>
  <si>
    <t>CLN-03</t>
  </si>
  <si>
    <t>Progress</t>
  </si>
  <si>
    <t>ProgressNote.progress</t>
  </si>
  <si>
    <t>ProgressNoteResponse.Progress</t>
  </si>
  <si>
    <t>frontend/web/src/features/ipd/admissions/components/ProgressNotesPanel.tsx:140</t>
  </si>
  <si>
    <t>frontend/shared/dtos/ipd/progressNote.ts:19</t>
  </si>
  <si>
    <t>backend/src/Modules/IPD/HMS.Modules.IPD/Contracts/ProgressNoteContracts.cs:21</t>
  </si>
  <si>
    <t>CLN-04</t>
  </si>
  <si>
    <t>Diagnosis</t>
  </si>
  <si>
    <t>ProgressNote.diagnosis</t>
  </si>
  <si>
    <t>ProgressNoteResponse.Diagnosis</t>
  </si>
  <si>
    <t>frontend/web/src/features/ipd/admissions/components/ProgressNotesPanel.tsx:144</t>
  </si>
  <si>
    <t>frontend/shared/dtos/ipd/progressNote.ts:20</t>
  </si>
  <si>
    <t>backend/src/Modules/IPD/HMS.Modules.IPD/Contracts/ProgressNoteContracts.cs:22</t>
  </si>
  <si>
    <t>CLN-05</t>
  </si>
  <si>
    <t>Assessment</t>
  </si>
  <si>
    <t>ProgressNote.assessment</t>
  </si>
  <si>
    <t>ProgressNoteResponse.Assessment</t>
  </si>
  <si>
    <t>frontend/web/src/features/ipd/admissions/components/ProgressNotesPanel.tsx:148</t>
  </si>
  <si>
    <t>frontend/shared/dtos/ipd/progressNote.ts:21</t>
  </si>
  <si>
    <t>backend/src/Modules/IPD/HMS.Modules.IPD/Contracts/ProgressNoteContracts.cs:23</t>
  </si>
  <si>
    <t>CLN-06</t>
  </si>
  <si>
    <t>Plan</t>
  </si>
  <si>
    <t>ProgressNote.plan</t>
  </si>
  <si>
    <t>ProgressNoteResponse.Plan</t>
  </si>
  <si>
    <t>frontend/web/src/features/ipd/admissions/components/ProgressNotesPanel.tsx:152</t>
  </si>
  <si>
    <t>frontend/shared/dtos/ipd/progressNote.ts:22</t>
  </si>
  <si>
    <t>backend/src/Modules/IPD/HMS.Modules.IPD/Contracts/ProgressNoteContracts.cs:24</t>
  </si>
  <si>
    <t>CLN-07</t>
  </si>
  <si>
    <t>Instructions</t>
  </si>
  <si>
    <t>ProgressNote.instructions</t>
  </si>
  <si>
    <t>ProgressNoteResponse.Instructions</t>
  </si>
  <si>
    <t>frontend/web/src/features/ipd/admissions/components/ProgressNotesPanel.tsx:156</t>
  </si>
  <si>
    <t>frontend/shared/dtos/ipd/progressNote.ts:23</t>
  </si>
  <si>
    <t>backend/src/Modules/IPD/HMS.Modules.IPD/Contracts/ProgressNoteContracts.cs:25</t>
  </si>
  <si>
    <t>CLN-08</t>
  </si>
  <si>
    <t>Add Progress Note</t>
  </si>
  <si>
    <t>Submit button</t>
  </si>
  <si>
    <t>frontend/web/src/features/ipd/admissions/components/ProgressNotesPanel.tsx:163</t>
  </si>
  <si>
    <t>ORD-01</t>
  </si>
  <si>
    <t>Order type</t>
  </si>
  <si>
    <t>Type</t>
  </si>
  <si>
    <t>Radiology | Procedure | Diet | Nursing | Blood | Consultation | Referral</t>
  </si>
  <si>
    <t>DoctorOrder.orderType</t>
  </si>
  <si>
    <t>DoctorOrderResponse.OrderType</t>
  </si>
  <si>
    <t>POST / GET /api/v1/ipd/admissions/{admissionId}/doctor-orders</t>
  </si>
  <si>
    <t>frontend/web/src/features/ipd/admissions/components/DoctorOrdersPanel.tsx:242</t>
  </si>
  <si>
    <t>frontend/shared/dtos/ipd/doctorOrder.ts:23</t>
  </si>
  <si>
    <t>backend/src/Modules/IPD/HMS.Modules.IPD/Contracts/DoctorOrderContracts.cs:27</t>
  </si>
  <si>
    <t>ORD-02</t>
  </si>
  <si>
    <t>Ordered at</t>
  </si>
  <si>
    <t>Ordered At</t>
  </si>
  <si>
    <t>Valid date-time</t>
  </si>
  <si>
    <t>DoctorOrder.orderedAt</t>
  </si>
  <si>
    <t>DoctorOrderResponse.OrderedAt</t>
  </si>
  <si>
    <t>frontend/web/src/features/ipd/admissions/components/DoctorOrdersPanel.tsx:264</t>
  </si>
  <si>
    <t>frontend/shared/dtos/ipd/doctorOrder.ts:27</t>
  </si>
  <si>
    <t>backend/src/Modules/IPD/HMS.Modules.IPD/Contracts/DoctorOrderContracts.cs:31</t>
  </si>
  <si>
    <t>ORD-03</t>
  </si>
  <si>
    <t>Catalog item (optional — auto-posts a charge)</t>
  </si>
  <si>
    <t>— (not in list)</t>
  </si>
  <si>
    <t>Searchable select</t>
  </si>
  <si>
    <t>Shown for Radiology, Procedure and Consultation only. Lists the priced catalog (service or consultation type, with price)</t>
  </si>
  <si>
    <t>DoctorOrder.catalogItemId</t>
  </si>
  <si>
    <t>DoctorOrderResponse.CatalogItemId</t>
  </si>
  <si>
    <t>frontend/web/src/features/ipd/admissions/components/DoctorOrdersPanel.tsx:272</t>
  </si>
  <si>
    <t>frontend/shared/dtos/ipd/doctorOrder.ts:26</t>
  </si>
  <si>
    <t>backend/src/Modules/IPD/HMS.Modules.IPD/Contracts/DoctorOrderContracts.cs:30</t>
  </si>
  <si>
    <t>Picking an item auto-posts a Doctor Order Charge on the Billing tab (ADR-065) and pre-fills Description.</t>
  </si>
  <si>
    <t>ORD-04</t>
  </si>
  <si>
    <t>Description</t>
  </si>
  <si>
    <t>Max 1000; pre-filled from the catalog item name</t>
  </si>
  <si>
    <t>DoctorOrder.description</t>
  </si>
  <si>
    <t>DoctorOrderResponse.Description</t>
  </si>
  <si>
    <t>frontend/web/src/features/ipd/admissions/components/DoctorOrdersPanel.tsx:293</t>
  </si>
  <si>
    <t>frontend/shared/dtos/ipd/doctorOrder.ts:24</t>
  </si>
  <si>
    <t>backend/src/Modules/IPD/HMS.Modules.IPD/Contracts/DoctorOrderContracts.cs:28</t>
  </si>
  <si>
    <t>ORD-05</t>
  </si>
  <si>
    <t>Instructions (optional)</t>
  </si>
  <si>
    <t>Small text under Description</t>
  </si>
  <si>
    <t>DoctorOrder.instructions</t>
  </si>
  <si>
    <t>DoctorOrderResponse.Instructions</t>
  </si>
  <si>
    <t>frontend/web/src/features/ipd/admissions/components/DoctorOrdersPanel.tsx:299</t>
  </si>
  <si>
    <t>frontend/shared/dtos/ipd/doctorOrder.ts:25</t>
  </si>
  <si>
    <t>backend/src/Modules/IPD/HMS.Modules.IPD/Contracts/DoctorOrderContracts.cs:29</t>
  </si>
  <si>
    <t>ORD-06</t>
  </si>
  <si>
    <t>Status</t>
  </si>
  <si>
    <t>Status badge, plus a next-step button</t>
  </si>
  <si>
    <t>Badge + Button</t>
  </si>
  <si>
    <t>Ordered → Accepted → InProgress → Completed; Cancelled from any open state</t>
  </si>
  <si>
    <t>DoctorOrder.status</t>
  </si>
  <si>
    <t>DoctorOrderResponse.Status</t>
  </si>
  <si>
    <t>POST /api/v1/ipd/admissions/{admissionId}/doctor-orders/{orderId}/advance</t>
  </si>
  <si>
    <t>frontend/web/src/features/ipd/admissions/components/DoctorOrdersPanel.tsx:193</t>
  </si>
  <si>
    <t>frontend/shared/dtos/ipd/doctorOrder.ts:29</t>
  </si>
  <si>
    <t>backend/src/Modules/IPD/HMS.Modules.IPD/Contracts/DoctorOrderContracts.cs:33</t>
  </si>
  <si>
    <t>ORD-07</t>
  </si>
  <si>
    <t>Cancel (row action)</t>
  </si>
  <si>
    <t>"Reason: …" under Description when cancelled</t>
  </si>
  <si>
    <t>The UI sends no reason, although the API accepts one</t>
  </si>
  <si>
    <t>DoctorOrder.cancellationReason</t>
  </si>
  <si>
    <t>DoctorOrderResponse.CancellationReason</t>
  </si>
  <si>
    <t>POST /api/v1/ipd/admissions/{admissionId}/doctor-orders/{orderId}/cancel</t>
  </si>
  <si>
    <t>frontend/web/src/features/ipd/admissions/components/DoctorOrdersPanel.tsx:187</t>
  </si>
  <si>
    <t>frontend/shared/dtos/ipd/doctorOrder.ts:32</t>
  </si>
  <si>
    <t>backend/src/Modules/IPD/HMS.Modules.IPD/Contracts/DoctorOrderContracts.cs:36</t>
  </si>
  <si>
    <t>ORD-08</t>
  </si>
  <si>
    <t>Place Order</t>
  </si>
  <si>
    <t>frontend/web/src/features/ipd/admissions/components/DoctorOrdersPanel.tsx:305</t>
  </si>
  <si>
    <t>MED-01</t>
  </si>
  <si>
    <t>Medication Orders</t>
  </si>
  <si>
    <t>Drug name</t>
  </si>
  <si>
    <t>Drug</t>
  </si>
  <si>
    <t>Max 200, free text (no drug master)</t>
  </si>
  <si>
    <t>MedicationOrder.drugName</t>
  </si>
  <si>
    <t>MedicationOrderResponse.DrugName</t>
  </si>
  <si>
    <t>POST / GET /api/v1/ipd/admissions/{admissionId}/medication-orders</t>
  </si>
  <si>
    <t>frontend/web/src/features/ipd/admissions/components/MedicationOrdersPanel.tsx:158</t>
  </si>
  <si>
    <t>frontend/shared/dtos/ipd/medicationOrder.ts:24</t>
  </si>
  <si>
    <t>backend/src/Modules/IPD/HMS.Modules.IPD/Contracts/MedicationOrderContracts.cs:24</t>
  </si>
  <si>
    <t>MED-02</t>
  </si>
  <si>
    <t>Dose</t>
  </si>
  <si>
    <t>Max 100</t>
  </si>
  <si>
    <t>MedicationOrder.dose</t>
  </si>
  <si>
    <t>MedicationOrderResponse.Dose</t>
  </si>
  <si>
    <t>frontend/web/src/features/ipd/admissions/components/MedicationOrdersPanel.tsx:163</t>
  </si>
  <si>
    <t>frontend/shared/dtos/ipd/medicationOrder.ts:25</t>
  </si>
  <si>
    <t>backend/src/Modules/IPD/HMS.Modules.IPD/Contracts/MedicationOrderContracts.cs:25</t>
  </si>
  <si>
    <t>MED-03</t>
  </si>
  <si>
    <t>MedicationOrder.route</t>
  </si>
  <si>
    <t>MedicationOrderResponse.Route</t>
  </si>
  <si>
    <t>frontend/web/src/features/ipd/admissions/components/MedicationOrdersPanel.tsx:168</t>
  </si>
  <si>
    <t>frontend/shared/dtos/ipd/medicationOrder.ts:26</t>
  </si>
  <si>
    <t>backend/src/Modules/IPD/HMS.Modules.IPD/Contracts/MedicationOrderContracts.cs:26</t>
  </si>
  <si>
    <t>MED-04</t>
  </si>
  <si>
    <t>Frequency</t>
  </si>
  <si>
    <t>Max 100, e.g. BD</t>
  </si>
  <si>
    <t>MedicationOrder.frequency</t>
  </si>
  <si>
    <t>MedicationOrderResponse.Frequency</t>
  </si>
  <si>
    <t>frontend/web/src/features/ipd/admissions/components/MedicationOrdersPanel.tsx:173</t>
  </si>
  <si>
    <t>frontend/shared/dtos/ipd/medicationOrder.ts:27</t>
  </si>
  <si>
    <t>backend/src/Modules/IPD/HMS.Modules.IPD/Contracts/MedicationOrderContracts.cs:27</t>
  </si>
  <si>
    <t>MED-05</t>
  </si>
  <si>
    <t>MedicationOrder.orderedAt</t>
  </si>
  <si>
    <t>MedicationOrderResponse.OrderedAt</t>
  </si>
  <si>
    <t>frontend/web/src/features/ipd/admissions/components/MedicationOrdersPanel.tsx:178</t>
  </si>
  <si>
    <t>frontend/shared/dtos/ipd/medicationOrder.ts:31</t>
  </si>
  <si>
    <t>backend/src/Modules/IPD/HMS.Modules.IPD/Contracts/MedicationOrderContracts.cs:31</t>
  </si>
  <si>
    <t>MED-06</t>
  </si>
  <si>
    <t>Start date</t>
  </si>
  <si>
    <t>Start (date only)</t>
  </si>
  <si>
    <t>MedicationOrder.startDate</t>
  </si>
  <si>
    <t>MedicationOrderResponse.StartDate</t>
  </si>
  <si>
    <t>frontend/web/src/features/ipd/admissions/components/MedicationOrdersPanel.tsx:183</t>
  </si>
  <si>
    <t>frontend/shared/dtos/ipd/medicationOrder.ts:28</t>
  </si>
  <si>
    <t>backend/src/Modules/IPD/HMS.Modules.IPD/Contracts/MedicationOrderContracts.cs:28</t>
  </si>
  <si>
    <t>MED-07</t>
  </si>
  <si>
    <t>End date (optional)</t>
  </si>
  <si>
    <t>End</t>
  </si>
  <si>
    <t>On or after the start date</t>
  </si>
  <si>
    <t>MedicationOrder.endDate</t>
  </si>
  <si>
    <t>MedicationOrderResponse.EndDate</t>
  </si>
  <si>
    <t>frontend/web/src/features/ipd/admissions/components/MedicationOrdersPanel.tsx:188</t>
  </si>
  <si>
    <t>frontend/shared/dtos/ipd/medicationOrder.ts:29</t>
  </si>
  <si>
    <t>backend/src/Modules/IPD/HMS.Modules.IPD/Contracts/MedicationOrderContracts.cs:29</t>
  </si>
  <si>
    <t>MED-08</t>
  </si>
  <si>
    <t>MedicationOrder.instructions</t>
  </si>
  <si>
    <t>MedicationOrderResponse.Instructions</t>
  </si>
  <si>
    <t>frontend/web/src/features/ipd/admissions/components/MedicationOrdersPanel.tsx:195</t>
  </si>
  <si>
    <t>frontend/shared/dtos/ipd/medicationOrder.ts:30</t>
  </si>
  <si>
    <t>backend/src/Modules/IPD/HMS.Modules.IPD/Contracts/MedicationOrderContracts.cs:30</t>
  </si>
  <si>
    <t>MED-09</t>
  </si>
  <si>
    <t>Active / Ended / Discontinued badge, plus a Discontinue button</t>
  </si>
  <si>
    <t>"Ended" is worked out from the end date, not stored. Discontinue sends no reason</t>
  </si>
  <si>
    <t>MedicationOrder.status</t>
  </si>
  <si>
    <t>MedicationOrderResponse.Status</t>
  </si>
  <si>
    <t>POST /api/v1/ipd/admissions/{admissionId}/medication-orders/{orderId}/discontinue</t>
  </si>
  <si>
    <t>frontend/web/src/features/ipd/admissions/components/MedicationOrdersPanel.tsx:123</t>
  </si>
  <si>
    <t>frontend/shared/dtos/ipd/medicationOrder.ts:33</t>
  </si>
  <si>
    <t>backend/src/Modules/IPD/HMS.Modules.IPD/Contracts/MedicationOrderContracts.cs:33</t>
  </si>
  <si>
    <t>MED-10</t>
  </si>
  <si>
    <t>Medication Administration Record (MAR)</t>
  </si>
  <si>
    <t>Medication order</t>
  </si>
  <si>
    <t>This admission's medication orders ("drug — dose route (frequency)")</t>
  </si>
  <si>
    <t>MedicationAdministration.medicationOrderId</t>
  </si>
  <si>
    <t>MedicationAdministrationResponse.MedicationOrderId</t>
  </si>
  <si>
    <t>POST / GET /api/v1/ipd/admissions/{admissionId}/medication-orders/{medicationOrderId}/administrations</t>
  </si>
  <si>
    <t>frontend/web/src/features/ipd/admissions/components/MedicationAdministrationPanel.tsx:65</t>
  </si>
  <si>
    <t>frontend/shared/dtos/ipd/medicationAdministration.ts:13</t>
  </si>
  <si>
    <t>backend/src/Modules/IPD/HMS.Modules.IPD/Contracts/MedicationAdministrationContracts.cs:15</t>
  </si>
  <si>
    <t>MED-11</t>
  </si>
  <si>
    <t>Scheduled time</t>
  </si>
  <si>
    <t>Scheduled</t>
  </si>
  <si>
    <t>MedicationAdministration.scheduledTime</t>
  </si>
  <si>
    <t>MedicationAdministrationResponse.ScheduledTime</t>
  </si>
  <si>
    <t>frontend/web/src/features/ipd/admissions/components/MedicationAdministrationPanel.tsx:144</t>
  </si>
  <si>
    <t>frontend/shared/dtos/ipd/medicationAdministration.ts:14</t>
  </si>
  <si>
    <t>backend/src/Modules/IPD/HMS.Modules.IPD/Contracts/MedicationAdministrationContracts.cs:16</t>
  </si>
  <si>
    <t>MED-12</t>
  </si>
  <si>
    <t>Given?</t>
  </si>
  <si>
    <t>Given / Not Given badge</t>
  </si>
  <si>
    <t>Given | Not Given</t>
  </si>
  <si>
    <t>MedicationAdministration.wasGiven</t>
  </si>
  <si>
    <t>MedicationAdministrationResponse.WasGiven</t>
  </si>
  <si>
    <t>frontend/web/src/features/ipd/admissions/components/MedicationAdministrationPanel.tsx:150</t>
  </si>
  <si>
    <t>frontend/shared/dtos/ipd/medicationAdministration.ts:15</t>
  </si>
  <si>
    <t>backend/src/Modules/IPD/HMS.Modules.IPD/Contracts/MedicationAdministrationContracts.cs:17</t>
  </si>
  <si>
    <t>MED-13</t>
  </si>
  <si>
    <t>Administered at</t>
  </si>
  <si>
    <t>Administered At</t>
  </si>
  <si>
    <t>Shown only when Given</t>
  </si>
  <si>
    <t>MedicationAdministration.administeredAt</t>
  </si>
  <si>
    <t>MedicationAdministrationResponse.AdministeredAt</t>
  </si>
  <si>
    <t>frontend/web/src/features/ipd/admissions/components/MedicationAdministrationPanel.tsx:170</t>
  </si>
  <si>
    <t>frontend/shared/dtos/ipd/medicationAdministration.ts:16</t>
  </si>
  <si>
    <t>backend/src/Modules/IPD/HMS.Modules.IPD/Contracts/MedicationAdministrationContracts.cs:18</t>
  </si>
  <si>
    <t>MED-14</t>
  </si>
  <si>
    <t>Shown only when Not Given; max 500</t>
  </si>
  <si>
    <t>MedicationAdministration.reason</t>
  </si>
  <si>
    <t>MedicationAdministrationResponse.Reason</t>
  </si>
  <si>
    <t>frontend/web/src/features/ipd/admissions/components/MedicationAdministrationPanel.tsx:178</t>
  </si>
  <si>
    <t>frontend/shared/dtos/ipd/medicationAdministration.ts:17</t>
  </si>
  <si>
    <t>backend/src/Modules/IPD/HMS.Modules.IPD/Contracts/MedicationAdministrationContracts.cs:19</t>
  </si>
  <si>
    <t>MED-15</t>
  </si>
  <si>
    <t>Remarks (optional)</t>
  </si>
  <si>
    <t>Remarks</t>
  </si>
  <si>
    <t>Max 1000</t>
  </si>
  <si>
    <t>MedicationAdministration.remarks</t>
  </si>
  <si>
    <t>MedicationAdministrationResponse.Remarks</t>
  </si>
  <si>
    <t>frontend/web/src/features/ipd/admissions/components/MedicationAdministrationPanel.tsx:184</t>
  </si>
  <si>
    <t>frontend/shared/dtos/ipd/medicationAdministration.ts:18</t>
  </si>
  <si>
    <t>backend/src/Modules/IPD/HMS.Modules.IPD/Contracts/MedicationAdministrationContracts.cs:20</t>
  </si>
  <si>
    <t>LAB-01</t>
  </si>
  <si>
    <t>Lab Orders – place order</t>
  </si>
  <si>
    <t>Services / Packages</t>
  </si>
  <si>
    <t>Toggle (per line)</t>
  </si>
  <si>
    <t>Switches the line's picker between tests and packages</t>
  </si>
  <si>
    <t>POST /api/v1/ipd/admissions/{admissionId}/lab-orders</t>
  </si>
  <si>
    <t>clinical-care.create</t>
  </si>
  <si>
    <t>frontend/web/src/features/ipd/admissions/components/LabOrdersPanel.tsx:168</t>
  </si>
  <si>
    <t>LAB-02</t>
  </si>
  <si>
    <t>Test or package</t>
  </si>
  <si>
    <t>Tests</t>
  </si>
  <si>
    <t>Yes (one or more lines)</t>
  </si>
  <si>
    <t>Laboratory services or active packages, with price</t>
  </si>
  <si>
    <t>PlaceLabOrderLineRequest.serviceId / PlaceLabOrderLineRequest.packageId</t>
  </si>
  <si>
    <t>PlaceLabOrderLineRequest.ServiceId / PlaceLabOrderLineRequest.PackageId</t>
  </si>
  <si>
    <t>IP Final Bill – Invoice print; Laboratory Report print</t>
  </si>
  <si>
    <t>frontend/web/src/features/ipd/admissions/components/LabOrdersPanel.tsx:188</t>
  </si>
  <si>
    <t>frontend/shared/dtos/ipd/labOrder.ts:4</t>
  </si>
  <si>
    <t>backend/src/Modules/IPD/HMS.Modules.IPD/Contracts/IPDLabOrderContracts.cs:9</t>
  </si>
  <si>
    <t>Each line also posts a Lab Charge on the Billing tab (ADR-064). The order is a real Laboratory LabOrder with Source = "IPD".</t>
  </si>
  <si>
    <t>LAB-03</t>
  </si>
  <si>
    <t>Add another test / remove line</t>
  </si>
  <si>
    <t>frontend/web/src/features/ipd/admissions/components/LabOrdersPanel.tsx:211</t>
  </si>
  <si>
    <t>LAB-04</t>
  </si>
  <si>
    <t>Lab Orders – list</t>
  </si>
  <si>
    <t>Order #</t>
  </si>
  <si>
    <t>LabOrderResponse.labOrderNumber</t>
  </si>
  <si>
    <t>LabOrderResponse.LabOrderNumber</t>
  </si>
  <si>
    <t>GET /api/v1/ipd/admissions/{admissionId}/lab-orders</t>
  </si>
  <si>
    <t>frontend/web/src/features/ipd/admissions/components/LabOrdersPanel.tsx:133</t>
  </si>
  <si>
    <t>frontend/shared/dtos/laboratory/labOrder.ts:123</t>
  </si>
  <si>
    <t>backend/src/Modules/Laboratory/HMS.Modules.Laboratory/Contracts/LabOrderContracts.cs:186</t>
  </si>
  <si>
    <t>LAB-05</t>
  </si>
  <si>
    <t>Tests (comma-separated)</t>
  </si>
  <si>
    <t>LabOrderItemResponse.testName</t>
  </si>
  <si>
    <t>LabOrderItemResponse.TestName</t>
  </si>
  <si>
    <t>frontend/web/src/features/ipd/admissions/components/LabOrdersPanel.tsx:134</t>
  </si>
  <si>
    <t>frontend/shared/dtos/laboratory/labOrder.ts:89</t>
  </si>
  <si>
    <t>backend/src/Modules/Laboratory/HMS.Modules.Laboratory/Contracts/LabOrderContracts.cs:150</t>
  </si>
  <si>
    <t>LAB-06</t>
  </si>
  <si>
    <t>Priority</t>
  </si>
  <si>
    <t>Cannot be set from this tab (Laboratory default)</t>
  </si>
  <si>
    <t>LabOrderResponse.priority</t>
  </si>
  <si>
    <t>LabOrderResponse.Priority</t>
  </si>
  <si>
    <t>frontend/web/src/features/ipd/admissions/components/LabOrdersPanel.tsx:135</t>
  </si>
  <si>
    <t>frontend/shared/dtos/laboratory/labOrder.ts:131</t>
  </si>
  <si>
    <t>backend/src/Modules/Laboratory/HMS.Modules.Laboratory/Contracts/LabOrderContracts.cs:197</t>
  </si>
  <si>
    <t>LAB-07</t>
  </si>
  <si>
    <t>Status badge</t>
  </si>
  <si>
    <t>LabOrderResponse.overallStatus</t>
  </si>
  <si>
    <t>LabOrderResponse.OverallStatus</t>
  </si>
  <si>
    <t>frontend/web/src/features/ipd/admissions/components/LabOrdersPanel.tsx:137</t>
  </si>
  <si>
    <t>frontend/shared/dtos/laboratory/labOrder.ts:132</t>
  </si>
  <si>
    <t>backend/src/Modules/Laboratory/HMS.Modules.Laboratory/Contracts/LabOrderContracts.cs:198</t>
  </si>
  <si>
    <t>LAB-08</t>
  </si>
  <si>
    <t>Placed</t>
  </si>
  <si>
    <t>LabOrderResponse.createdAt</t>
  </si>
  <si>
    <t>LabOrderResponse.CreatedAt</t>
  </si>
  <si>
    <t>frontend/web/src/features/ipd/admissions/components/LabOrdersPanel.tsx:139</t>
  </si>
  <si>
    <t>frontend/shared/dtos/laboratory/labOrder.ts:133</t>
  </si>
  <si>
    <t>backend/src/Modules/Laboratory/HMS.Modules.Laboratory/Contracts/LabOrderContracts.cs:199</t>
  </si>
  <si>
    <t>LAB-09</t>
  </si>
  <si>
    <t>View Details</t>
  </si>
  <si>
    <t>Link to /diagnostics/lab/orders/{id}</t>
  </si>
  <si>
    <t>Link</t>
  </si>
  <si>
    <t>Samples, results, verification and Print are on the Laboratory order page</t>
  </si>
  <si>
    <t>frontend/web/src/features/ipd/admissions/components/LabOrdersPanel.tsx:142</t>
  </si>
  <si>
    <t>VIT-01</t>
  </si>
  <si>
    <t>Recorded at</t>
  </si>
  <si>
    <t>Recorded</t>
  </si>
  <si>
    <t>VitalsReading.recordedAt</t>
  </si>
  <si>
    <t>VitalsReadingResponse.RecordedAt</t>
  </si>
  <si>
    <t>POST / GET /api/v1/ipd/admissions/{admissionId}/vitals</t>
  </si>
  <si>
    <t>frontend/web/src/features/ipd/admissions/components/VitalsPanel.tsx:138</t>
  </si>
  <si>
    <t>frontend/shared/dtos/ipd/vitals.ts:22</t>
  </si>
  <si>
    <t>backend/src/Modules/IPD/HMS.Modules.IPD/Contracts/VitalsReadingContracts.cs:24</t>
  </si>
  <si>
    <t>VIT-02</t>
  </si>
  <si>
    <t>Temp (°F)</t>
  </si>
  <si>
    <t>Number input</t>
  </si>
  <si>
    <t>70–115, step 0.1</t>
  </si>
  <si>
    <t>VitalsReading.temperatureF</t>
  </si>
  <si>
    <t>VitalsReadingResponse.TemperatureF</t>
  </si>
  <si>
    <t>frontend/web/src/features/ipd/admissions/components/VitalsPanel.tsx:143</t>
  </si>
  <si>
    <t>frontend/shared/dtos/ipd/vitals.ts:23</t>
  </si>
  <si>
    <t>backend/src/Modules/IPD/HMS.Modules.IPD/Contracts/VitalsReadingContracts.cs:25</t>
  </si>
  <si>
    <t>Copied into Discharge Summary vitals by "Draft with AI" (last reading)</t>
  </si>
  <si>
    <t>VIT-03</t>
  </si>
  <si>
    <t>Pulse</t>
  </si>
  <si>
    <t>0–300</t>
  </si>
  <si>
    <t>VitalsReading.pulseRate</t>
  </si>
  <si>
    <t>VitalsReadingResponse.PulseRate</t>
  </si>
  <si>
    <t>frontend/web/src/features/ipd/admissions/components/VitalsPanel.tsx:148</t>
  </si>
  <si>
    <t>frontend/shared/dtos/ipd/vitals.ts:24</t>
  </si>
  <si>
    <t>backend/src/Modules/IPD/HMS.Modules.IPD/Contracts/VitalsReadingContracts.cs:26</t>
  </si>
  <si>
    <t>VIT-04</t>
  </si>
  <si>
    <t>Resp. rate</t>
  </si>
  <si>
    <t>RR</t>
  </si>
  <si>
    <t>0–150</t>
  </si>
  <si>
    <t>VitalsReading.respiratoryRate</t>
  </si>
  <si>
    <t>VitalsReadingResponse.RespiratoryRate</t>
  </si>
  <si>
    <t>frontend/web/src/features/ipd/admissions/components/VitalsPanel.tsx:153</t>
  </si>
  <si>
    <t>frontend/shared/dtos/ipd/vitals.ts:25</t>
  </si>
  <si>
    <t>backend/src/Modules/IPD/HMS.Modules.IPD/Contracts/VitalsReadingContracts.cs:27</t>
  </si>
  <si>
    <t>VIT-05</t>
  </si>
  <si>
    <t>BP systolic</t>
  </si>
  <si>
    <t>BP (systolic/diastolic)</t>
  </si>
  <si>
    <t>40–300</t>
  </si>
  <si>
    <t>VitalsReading.bloodPressureSystolic</t>
  </si>
  <si>
    <t>VitalsReadingResponse.BloodPressureSystolic</t>
  </si>
  <si>
    <t>frontend/web/src/features/ipd/admissions/components/VitalsPanel.tsx:159</t>
  </si>
  <si>
    <t>frontend/shared/dtos/ipd/vitals.ts:26</t>
  </si>
  <si>
    <t>backend/src/Modules/IPD/HMS.Modules.IPD/Contracts/VitalsReadingContracts.cs:28</t>
  </si>
  <si>
    <t>Copied into Discharge Summary vitals by "Draft with AI" (last reading) as "sys/dia"</t>
  </si>
  <si>
    <t>VIT-06</t>
  </si>
  <si>
    <t>BP diastolic</t>
  </si>
  <si>
    <t>20–200</t>
  </si>
  <si>
    <t>VitalsReading.bloodPressureDiastolic</t>
  </si>
  <si>
    <t>VitalsReadingResponse.BloodPressureDiastolic</t>
  </si>
  <si>
    <t>frontend/web/src/features/ipd/admissions/components/VitalsPanel.tsx:164</t>
  </si>
  <si>
    <t>frontend/shared/dtos/ipd/vitals.ts:27</t>
  </si>
  <si>
    <t>backend/src/Modules/IPD/HMS.Modules.IPD/Contracts/VitalsReadingContracts.cs:29</t>
  </si>
  <si>
    <t>VIT-07</t>
  </si>
  <si>
    <t>SpO2 (%)</t>
  </si>
  <si>
    <t>SpO2</t>
  </si>
  <si>
    <t>0–100</t>
  </si>
  <si>
    <t>VitalsReading.spO2Percent</t>
  </si>
  <si>
    <t>VitalsReadingResponse.SpO2Percent</t>
  </si>
  <si>
    <t>frontend/web/src/features/ipd/admissions/components/VitalsPanel.tsx:170</t>
  </si>
  <si>
    <t>frontend/shared/dtos/ipd/vitals.ts:28</t>
  </si>
  <si>
    <t>backend/src/Modules/IPD/HMS.Modules.IPD/Contracts/VitalsReadingContracts.cs:30</t>
  </si>
  <si>
    <t>VIT-08</t>
  </si>
  <si>
    <t>Weight (kg)</t>
  </si>
  <si>
    <t>Weight</t>
  </si>
  <si>
    <t>0–500, step 0.1</t>
  </si>
  <si>
    <t>VitalsReading.weightKg</t>
  </si>
  <si>
    <t>VitalsReadingResponse.WeightKg</t>
  </si>
  <si>
    <t>frontend/web/src/features/ipd/admissions/components/VitalsPanel.tsx:175</t>
  </si>
  <si>
    <t>frontend/shared/dtos/ipd/vitals.ts:29</t>
  </si>
  <si>
    <t>backend/src/Modules/IPD/HMS.Modules.IPD/Contracts/VitalsReadingContracts.cs:31</t>
  </si>
  <si>
    <t>Copied into Discharge Summary vitals by "Draft with AI" (last reading) (not in the AI text context)</t>
  </si>
  <si>
    <t>VIT-09</t>
  </si>
  <si>
    <t>Height (cm)</t>
  </si>
  <si>
    <t>0–300, step 0.1</t>
  </si>
  <si>
    <t>VitalsReading.heightCm</t>
  </si>
  <si>
    <t>VitalsReadingResponse.HeightCm</t>
  </si>
  <si>
    <t>frontend/web/src/features/ipd/admissions/components/VitalsPanel.tsx:180</t>
  </si>
  <si>
    <t>frontend/shared/dtos/ipd/vitals.ts:30</t>
  </si>
  <si>
    <t>backend/src/Modules/IPD/HMS.Modules.IPD/Contracts/VitalsReadingContracts.cs:32</t>
  </si>
  <si>
    <t>VIT-10</t>
  </si>
  <si>
    <t>Pain (0-10)</t>
  </si>
  <si>
    <t>Pain</t>
  </si>
  <si>
    <t>0–10</t>
  </si>
  <si>
    <t>VitalsReading.painScore</t>
  </si>
  <si>
    <t>VitalsReadingResponse.PainScore</t>
  </si>
  <si>
    <t>frontend/web/src/features/ipd/admissions/components/VitalsPanel.tsx:185</t>
  </si>
  <si>
    <t>frontend/shared/dtos/ipd/vitals.ts:31</t>
  </si>
  <si>
    <t>backend/src/Modules/IPD/HMS.Modules.IPD/Contracts/VitalsReadingContracts.cs:33</t>
  </si>
  <si>
    <t>VIT-11</t>
  </si>
  <si>
    <t>Glucose (mg/dL)</t>
  </si>
  <si>
    <t>Glucose</t>
  </si>
  <si>
    <t>0–1000, step 0.1</t>
  </si>
  <si>
    <t>VitalsReading.bloodGlucoseMgDl</t>
  </si>
  <si>
    <t>VitalsReadingResponse.BloodGlucoseMgDl</t>
  </si>
  <si>
    <t>frontend/web/src/features/ipd/admissions/components/VitalsPanel.tsx:190</t>
  </si>
  <si>
    <t>frontend/shared/dtos/ipd/vitals.ts:32</t>
  </si>
  <si>
    <t>backend/src/Modules/IPD/HMS.Modules.IPD/Contracts/VitalsReadingContracts.cs:34</t>
  </si>
  <si>
    <t>VIT-12</t>
  </si>
  <si>
    <t>Notes (optional)</t>
  </si>
  <si>
    <t>VitalsReading.notes</t>
  </si>
  <si>
    <t>VitalsReadingResponse.Notes</t>
  </si>
  <si>
    <t>frontend/web/src/features/ipd/admissions/components/VitalsPanel.tsx:197</t>
  </si>
  <si>
    <t>frontend/shared/dtos/ipd/vitals.ts:34</t>
  </si>
  <si>
    <t>backend/src/Modules/IPD/HMS.Modules.IPD/Contracts/VitalsReadingContracts.cs:36</t>
  </si>
  <si>
    <t>NUR-01</t>
  </si>
  <si>
    <t>Nursing Assessment</t>
  </si>
  <si>
    <t>Assessed at</t>
  </si>
  <si>
    <t>Assessed</t>
  </si>
  <si>
    <t>NursingAssessment.assessedAt</t>
  </si>
  <si>
    <t>NursingAssessmentResponse.AssessedAt</t>
  </si>
  <si>
    <t>POST / GET /api/v1/ipd/admissions/{admissionId}/nursing-assessments</t>
  </si>
  <si>
    <t>frontend/web/src/features/ipd/admissions/components/NursingAssessmentPanel.tsx:122</t>
  </si>
  <si>
    <t>frontend/shared/dtos/ipd/nursingAssessment.ts:20</t>
  </si>
  <si>
    <t>backend/src/Modules/IPD/HMS.Modules.IPD/Contracts/NursingAssessmentContracts.cs:22</t>
  </si>
  <si>
    <t>NUR-02</t>
  </si>
  <si>
    <t>General condition</t>
  </si>
  <si>
    <t>NursingAssessment.generalCondition</t>
  </si>
  <si>
    <t>NursingAssessmentResponse.GeneralCondition</t>
  </si>
  <si>
    <t>frontend/web/src/features/ipd/admissions/components/NursingAssessmentPanel.tsx:129</t>
  </si>
  <si>
    <t>frontend/shared/dtos/ipd/nursingAssessment.ts:21</t>
  </si>
  <si>
    <t>backend/src/Modules/IPD/HMS.Modules.IPD/Contracts/NursingAssessmentContracts.cs:23</t>
  </si>
  <si>
    <t>NUR-03</t>
  </si>
  <si>
    <t>Consciousness</t>
  </si>
  <si>
    <t>Max 200</t>
  </si>
  <si>
    <t>NursingAssessment.consciousnessLevel</t>
  </si>
  <si>
    <t>NursingAssessmentResponse.ConsciousnessLevel</t>
  </si>
  <si>
    <t>frontend/web/src/features/ipd/admissions/components/NursingAssessmentPanel.tsx:133</t>
  </si>
  <si>
    <t>frontend/shared/dtos/ipd/nursingAssessment.ts:22</t>
  </si>
  <si>
    <t>backend/src/Modules/IPD/HMS.Modules.IPD/Contracts/NursingAssessmentContracts.cs:24</t>
  </si>
  <si>
    <t>NUR-04</t>
  </si>
  <si>
    <t>Mobility</t>
  </si>
  <si>
    <t>NursingAssessment.mobility</t>
  </si>
  <si>
    <t>NursingAssessmentResponse.Mobility</t>
  </si>
  <si>
    <t>frontend/web/src/features/ipd/admissions/components/NursingAssessmentPanel.tsx:137</t>
  </si>
  <si>
    <t>frontend/shared/dtos/ipd/nursingAssessment.ts:23</t>
  </si>
  <si>
    <t>backend/src/Modules/IPD/HMS.Modules.IPD/Contracts/NursingAssessmentContracts.cs:25</t>
  </si>
  <si>
    <t>NUR-05</t>
  </si>
  <si>
    <t>Nutrition status</t>
  </si>
  <si>
    <t>NursingAssessment.nutritionStatus</t>
  </si>
  <si>
    <t>NursingAssessmentResponse.NutritionStatus</t>
  </si>
  <si>
    <t>frontend/web/src/features/ipd/admissions/components/NursingAssessmentPanel.tsx:141</t>
  </si>
  <si>
    <t>frontend/shared/dtos/ipd/nursingAssessment.ts:24</t>
  </si>
  <si>
    <t>backend/src/Modules/IPD/HMS.Modules.IPD/Contracts/NursingAssessmentContracts.cs:26</t>
  </si>
  <si>
    <t>NUR-06</t>
  </si>
  <si>
    <t>Fall risk</t>
  </si>
  <si>
    <t>Fall Risk</t>
  </si>
  <si>
    <t>Max 200, free text</t>
  </si>
  <si>
    <t>NursingAssessment.fallRisk</t>
  </si>
  <si>
    <t>NursingAssessmentResponse.FallRisk</t>
  </si>
  <si>
    <t>frontend/web/src/features/ipd/admissions/components/NursingAssessmentPanel.tsx:145</t>
  </si>
  <si>
    <t>frontend/shared/dtos/ipd/nursingAssessment.ts:25</t>
  </si>
  <si>
    <t>backend/src/Modules/IPD/HMS.Modules.IPD/Contracts/NursingAssessmentContracts.cs:27</t>
  </si>
  <si>
    <t>NUR-07</t>
  </si>
  <si>
    <t>Pressure sore risk</t>
  </si>
  <si>
    <t>Pressure Sore Risk</t>
  </si>
  <si>
    <t>NursingAssessment.pressureSoreRisk</t>
  </si>
  <si>
    <t>NursingAssessmentResponse.PressureSoreRisk</t>
  </si>
  <si>
    <t>frontend/web/src/features/ipd/admissions/components/NursingAssessmentPanel.tsx:149</t>
  </si>
  <si>
    <t>frontend/shared/dtos/ipd/nursingAssessment.ts:26</t>
  </si>
  <si>
    <t>backend/src/Modules/IPD/HMS.Modules.IPD/Contracts/NursingAssessmentContracts.cs:28</t>
  </si>
  <si>
    <t>NUR-08</t>
  </si>
  <si>
    <t>Skin condition</t>
  </si>
  <si>
    <t>NursingAssessment.skinCondition</t>
  </si>
  <si>
    <t>NursingAssessmentResponse.SkinCondition</t>
  </si>
  <si>
    <t>frontend/web/src/features/ipd/admissions/components/NursingAssessmentPanel.tsx:153</t>
  </si>
  <si>
    <t>frontend/shared/dtos/ipd/nursingAssessment.ts:27</t>
  </si>
  <si>
    <t>backend/src/Modules/IPD/HMS.Modules.IPD/Contracts/NursingAssessmentContracts.cs:29</t>
  </si>
  <si>
    <t>NUR-09</t>
  </si>
  <si>
    <t>NursingAssessment.painScore</t>
  </si>
  <si>
    <t>NursingAssessmentResponse.PainScore</t>
  </si>
  <si>
    <t>frontend/web/src/features/ipd/admissions/components/NursingAssessmentPanel.tsx:157</t>
  </si>
  <si>
    <t>frontend/shared/dtos/ipd/nursingAssessment.ts:28</t>
  </si>
  <si>
    <t>backend/src/Modules/IPD/HMS.Modules.IPD/Contracts/NursingAssessmentContracts.cs:30</t>
  </si>
  <si>
    <t>NUR-10</t>
  </si>
  <si>
    <t>NursingAssessment.notes</t>
  </si>
  <si>
    <t>NursingAssessmentResponse.Notes</t>
  </si>
  <si>
    <t>frontend/web/src/features/ipd/admissions/components/NursingAssessmentPanel.tsx:164</t>
  </si>
  <si>
    <t>frontend/shared/dtos/ipd/nursingAssessment.ts:29</t>
  </si>
  <si>
    <t>backend/src/Modules/IPD/HMS.Modules.IPD/Contracts/NursingAssessmentContracts.cs:31</t>
  </si>
  <si>
    <t>NUR-11</t>
  </si>
  <si>
    <t>Nursing Notes</t>
  </si>
  <si>
    <t>NursingNote.noteDateTime</t>
  </si>
  <si>
    <t>NursingNoteResponse.NoteDateTime</t>
  </si>
  <si>
    <t>POST / GET /api/v1/ipd/admissions/{admissionId}/nursing-notes</t>
  </si>
  <si>
    <t>frontend/web/src/features/ipd/admissions/components/NursingNotesPanel.tsx:118</t>
  </si>
  <si>
    <t>frontend/shared/dtos/ipd/nursingNote.ts:18</t>
  </si>
  <si>
    <t>backend/src/Modules/IPD/HMS.Modules.IPD/Contracts/NursingNoteContracts.cs:18</t>
  </si>
  <si>
    <t>NUR-12</t>
  </si>
  <si>
    <t>Shift</t>
  </si>
  <si>
    <t>Note card heading ("· {shift} Shift")</t>
  </si>
  <si>
    <t>Morning | Evening | Night</t>
  </si>
  <si>
    <t>NursingNote.shift</t>
  </si>
  <si>
    <t>NursingNoteResponse.Shift</t>
  </si>
  <si>
    <t>frontend/web/src/features/ipd/admissions/components/NursingNotesPanel.tsx:124</t>
  </si>
  <si>
    <t>frontend/shared/dtos/ipd/nursingNote.ts:19</t>
  </si>
  <si>
    <t>backend/src/Modules/IPD/HMS.Modules.IPD/Contracts/NursingNoteContracts.cs:19</t>
  </si>
  <si>
    <t>NUR-13</t>
  </si>
  <si>
    <t>Observation</t>
  </si>
  <si>
    <t>NursingNote.observation</t>
  </si>
  <si>
    <t>NursingNoteResponse.Observation</t>
  </si>
  <si>
    <t>frontend/web/src/features/ipd/admissions/components/NursingNotesPanel.tsx:148</t>
  </si>
  <si>
    <t>frontend/shared/dtos/ipd/nursingNote.ts:20</t>
  </si>
  <si>
    <t>backend/src/Modules/IPD/HMS.Modules.IPD/Contracts/NursingNoteContracts.cs:20</t>
  </si>
  <si>
    <t>NUR-14</t>
  </si>
  <si>
    <t>Intervention</t>
  </si>
  <si>
    <t>NursingNote.intervention</t>
  </si>
  <si>
    <t>NursingNoteResponse.Intervention</t>
  </si>
  <si>
    <t>frontend/web/src/features/ipd/admissions/components/NursingNotesPanel.tsx:152</t>
  </si>
  <si>
    <t>frontend/shared/dtos/ipd/nursingNote.ts:21</t>
  </si>
  <si>
    <t>backend/src/Modules/IPD/HMS.Modules.IPD/Contracts/NursingNoteContracts.cs:21</t>
  </si>
  <si>
    <t>NUR-15</t>
  </si>
  <si>
    <t>Patient response</t>
  </si>
  <si>
    <t>NursingNote.patientResponse</t>
  </si>
  <si>
    <t>NursingNoteResponse.PatientResponse</t>
  </si>
  <si>
    <t>frontend/web/src/features/ipd/admissions/components/NursingNotesPanel.tsx:156</t>
  </si>
  <si>
    <t>frontend/shared/dtos/ipd/nursingNote.ts:22</t>
  </si>
  <si>
    <t>backend/src/Modules/IPD/HMS.Modules.IPD/Contracts/NursingNoteContracts.cs:22</t>
  </si>
  <si>
    <t>NUR-16</t>
  </si>
  <si>
    <t>NursingNote.remarks</t>
  </si>
  <si>
    <t>NursingNoteResponse.Remarks</t>
  </si>
  <si>
    <t>frontend/web/src/features/ipd/admissions/components/NursingNotesPanel.tsx:160</t>
  </si>
  <si>
    <t>frontend/shared/dtos/ipd/nursingNote.ts:23</t>
  </si>
  <si>
    <t>backend/src/Modules/IPD/HMS.Modules.IPD/Contracts/NursingNoteContracts.cs:23</t>
  </si>
  <si>
    <t>BIL-01</t>
  </si>
  <si>
    <t>Charges</t>
  </si>
  <si>
    <t>Charge type</t>
  </si>
  <si>
    <t>Type (with an "Auto" tag for Bed / Lab / Doctor Order charges)</t>
  </si>
  <si>
    <t>Admission Charge | Bed Charge | Nursing Charge | Lab Charge | Doctor Order Charge | Pharmacy</t>
  </si>
  <si>
    <t>AdmissionCharge.chargeType</t>
  </si>
  <si>
    <t>AdmissionChargeResponse.ChargeType</t>
  </si>
  <si>
    <t>POST / GET /api/v1/ipd/admissions/{admissionId}/charges</t>
  </si>
  <si>
    <t>frontend/web/src/features/ipd/admissions/components/ChargesPanel.tsx:126</t>
  </si>
  <si>
    <t>frontend/shared/dtos/ipd/charge.ts:14</t>
  </si>
  <si>
    <t>backend/src/Modules/IPD/HMS.Modules.IPD/Contracts/AdmissionChargeContracts.cs:14</t>
  </si>
  <si>
    <t>Auto-posted charges: Bed (at discharge, highest tariff per day), Lab (lab orders), Doctor Order (catalog items), Pharmacy (IP credit sales).</t>
  </si>
  <si>
    <t>BIL-02</t>
  </si>
  <si>
    <t>Amount</t>
  </si>
  <si>
    <t>Amount (₹)</t>
  </si>
  <si>
    <t>&gt; 0, step 0.01</t>
  </si>
  <si>
    <t>AdmissionCharge.amount</t>
  </si>
  <si>
    <t>AdmissionChargeResponse.Amount</t>
  </si>
  <si>
    <t>frontend/web/src/features/ipd/admissions/components/ChargesPanel.tsx:148</t>
  </si>
  <si>
    <t>frontend/shared/dtos/ipd/charge.ts:15</t>
  </si>
  <si>
    <t>backend/src/Modules/IPD/HMS.Modules.IPD/Contracts/AdmissionChargeContracts.cs:15</t>
  </si>
  <si>
    <t>BIL-03</t>
  </si>
  <si>
    <t>AdmissionCharge.remarks</t>
  </si>
  <si>
    <t>AdmissionChargeResponse.Remarks</t>
  </si>
  <si>
    <t>frontend/web/src/features/ipd/admissions/components/ChargesPanel.tsx:156</t>
  </si>
  <si>
    <t>frontend/shared/dtos/ipd/charge.ts:16</t>
  </si>
  <si>
    <t>backend/src/Modules/IPD/HMS.Modules.IPD/Contracts/AdmissionChargeContracts.cs:16</t>
  </si>
  <si>
    <t>BIL-04</t>
  </si>
  <si>
    <t>Posted</t>
  </si>
  <si>
    <t>AdmissionCharge.createdAt</t>
  </si>
  <si>
    <t>AdmissionChargeResponse.CreatedAt</t>
  </si>
  <si>
    <t>frontend/web/src/features/ipd/admissions/components/ChargesPanel.tsx:99</t>
  </si>
  <si>
    <t>frontend/shared/dtos/ipd/charge.ts:17</t>
  </si>
  <si>
    <t>backend/src/Modules/IPD/HMS.Modules.IPD/Contracts/AdmissionChargeContracts.cs:17</t>
  </si>
  <si>
    <t>BIL-05</t>
  </si>
  <si>
    <t>Table footer</t>
  </si>
  <si>
    <t>Computed display</t>
  </si>
  <si>
    <t>Sum of all charges</t>
  </si>
  <si>
    <t>frontend/web/src/features/ipd/admissions/components/ChargesPanel.tsx:108</t>
  </si>
  <si>
    <t>BIL-06</t>
  </si>
  <si>
    <t>Advance / Deposit</t>
  </si>
  <si>
    <t>AdmissionAdvance.amount</t>
  </si>
  <si>
    <t>AdmissionAdvanceResponse.Amount</t>
  </si>
  <si>
    <t>POST / GET /api/v1/ipd/admissions/{admissionId}/advances</t>
  </si>
  <si>
    <t>finance-billing.create / .view</t>
  </si>
  <si>
    <t>frontend/web/src/features/ipd/admissions/components/AdvancePanel.tsx:128</t>
  </si>
  <si>
    <t>frontend/shared/dtos/ipd/advance.ts:15</t>
  </si>
  <si>
    <t>backend/src/Modules/IPD/HMS.Modules.IPD/Contracts/AdmissionAdvanceContracts.cs:15</t>
  </si>
  <si>
    <t>BIL-07</t>
  </si>
  <si>
    <t>Method</t>
  </si>
  <si>
    <t>Cash | Card | UPI | Bank transfer</t>
  </si>
  <si>
    <t>AdmissionAdvance.method</t>
  </si>
  <si>
    <t>AdmissionAdvanceResponse.Method</t>
  </si>
  <si>
    <t>frontend/web/src/features/ipd/admissions/components/AdvancePanel.tsx:134</t>
  </si>
  <si>
    <t>frontend/shared/dtos/ipd/advance.ts:16</t>
  </si>
  <si>
    <t>backend/src/Modules/IPD/HMS.Modules.IPD/Contracts/AdmissionAdvanceContracts.cs:16</t>
  </si>
  <si>
    <t>BIL-08</t>
  </si>
  <si>
    <t>Reference (optional)</t>
  </si>
  <si>
    <t>Reference</t>
  </si>
  <si>
    <t>AdmissionAdvance.referenceNumber</t>
  </si>
  <si>
    <t>AdmissionAdvanceResponse.ReferenceNumber</t>
  </si>
  <si>
    <t>frontend/web/src/features/ipd/admissions/components/AdvancePanel.tsx:156</t>
  </si>
  <si>
    <t>frontend/shared/dtos/ipd/advance.ts:17</t>
  </si>
  <si>
    <t>backend/src/Modules/IPD/HMS.Modules.IPD/Contracts/AdmissionAdvanceContracts.cs:17</t>
  </si>
  <si>
    <t>BIL-09</t>
  </si>
  <si>
    <t>AdmissionAdvance.remarks</t>
  </si>
  <si>
    <t>AdmissionAdvanceResponse.Remarks</t>
  </si>
  <si>
    <t>frontend/web/src/features/ipd/admissions/components/AdvancePanel.tsx:163</t>
  </si>
  <si>
    <t>frontend/shared/dtos/ipd/advance.ts:18</t>
  </si>
  <si>
    <t>backend/src/Modules/IPD/HMS.Modules.IPD/Contracts/AdmissionAdvanceContracts.cs:18</t>
  </si>
  <si>
    <t>BIL-10</t>
  </si>
  <si>
    <t>AdmissionAdvance.createdAt</t>
  </si>
  <si>
    <t>AdmissionAdvanceResponse.CreatedAt</t>
  </si>
  <si>
    <t>frontend/web/src/features/ipd/admissions/components/AdvancePanel.tsx:101</t>
  </si>
  <si>
    <t>frontend/shared/dtos/ipd/advance.ts:19</t>
  </si>
  <si>
    <t>backend/src/Modules/IPD/HMS.Modules.IPD/Contracts/AdmissionAdvanceContracts.cs:19</t>
  </si>
  <si>
    <t>BIL-11</t>
  </si>
  <si>
    <t>Sum of all advances</t>
  </si>
  <si>
    <t>frontend/web/src/features/ipd/admissions/components/AdvancePanel.tsx:110</t>
  </si>
  <si>
    <t>BIL-12</t>
  </si>
  <si>
    <t>IP No issued</t>
  </si>
  <si>
    <t>"Advance recorded. IP No: …" message</t>
  </si>
  <si>
    <t>Shown after the advance that issues the IP No (ADR-104)</t>
  </si>
  <si>
    <t>AdmissionAdvance.ipNumber</t>
  </si>
  <si>
    <t>AdmissionAdvanceResponse.IpNumber</t>
  </si>
  <si>
    <t>frontend/web/src/features/ipd/admissions/components/AdvancePanel.tsx:59</t>
  </si>
  <si>
    <t>frontend/shared/dtos/ipd/advance.ts:22</t>
  </si>
  <si>
    <t>backend/src/Modules/IPD/HMS.Modules.IPD/Contracts/AdmissionAdvanceContracts.cs:23</t>
  </si>
  <si>
    <t>BIL-13</t>
  </si>
  <si>
    <t>Final Bill (after discharge)</t>
  </si>
  <si>
    <t>Charges total</t>
  </si>
  <si>
    <t>Charges total: ₹…</t>
  </si>
  <si>
    <t>Shown until the final bill exists</t>
  </si>
  <si>
    <t>POST /api/v1/ipd/admissions/{admissionId}/final-bill</t>
  </si>
  <si>
    <t>finance-billing.create</t>
  </si>
  <si>
    <t>frontend/web/src/features/ipd/admissions/components/FinalBillCard.tsx:65</t>
  </si>
  <si>
    <t>BIL-14</t>
  </si>
  <si>
    <t>Advance collected</t>
  </si>
  <si>
    <t>Advance collected: ₹…</t>
  </si>
  <si>
    <t>frontend/web/src/features/ipd/admissions/components/FinalBillCard.tsx:68</t>
  </si>
  <si>
    <t>BIL-15</t>
  </si>
  <si>
    <t>Balance due / Refund due</t>
  </si>
  <si>
    <t>Balance due: ₹… (or Refund due)</t>
  </si>
  <si>
    <t>Charges total − advance; on screen only (ADR-067)</t>
  </si>
  <si>
    <t>frontend/web/src/features/ipd/admissions/components/FinalBillCard.tsx:71</t>
  </si>
  <si>
    <t>BIL-16</t>
  </si>
  <si>
    <t>Generate Final Bill</t>
  </si>
  <si>
    <t>Needs at least one charge; opens /finance/accounts/{invoiceId}</t>
  </si>
  <si>
    <t>GenerateFinalBillResponse.invoiceId</t>
  </si>
  <si>
    <t>GenerateFinalBillResponse.InvoiceId</t>
  </si>
  <si>
    <t>frontend/web/src/features/ipd/admissions/components/FinalBillCard.tsx:86</t>
  </si>
  <si>
    <t>frontend/shared/dtos/ipd/finalBill.ts:4</t>
  </si>
  <si>
    <t>backend/src/Modules/IPD/HMS.Modules.IPD/Contracts/IPDBillingContracts.cs:9</t>
  </si>
  <si>
    <t>BIL-17</t>
  </si>
  <si>
    <t>View Final Bill</t>
  </si>
  <si>
    <t>Link to /finance/accounts/{finalInvoiceId}</t>
  </si>
  <si>
    <t>Shown once the final bill exists</t>
  </si>
  <si>
    <t>Admission.finalInvoiceId</t>
  </si>
  <si>
    <t>AdmissionResponse.FinalInvoiceId</t>
  </si>
  <si>
    <t>frontend/web/src/features/ipd/admissions/components/FinalBillCard.tsx:32</t>
  </si>
  <si>
    <t>frontend/shared/dtos/ipd/admission.ts:101</t>
  </si>
  <si>
    <t>backend/src/Modules/IPD/HMS.Modules.IPD/Contracts/AdmissionContracts.cs:113</t>
  </si>
  <si>
    <t>DIS-01</t>
  </si>
  <si>
    <t>Discharge form (while Admitted)</t>
  </si>
  <si>
    <t>DischargeAdmissionRequest.dischargeDateTime</t>
  </si>
  <si>
    <t>DischargeAdmissionRequest.DischargeDateTime</t>
  </si>
  <si>
    <t>POST /api/v1/ipd/admissions/{id}/discharge</t>
  </si>
  <si>
    <t>frontend/web/src/features/ipd/admissions/components/DischargeForm.tsx:72</t>
  </si>
  <si>
    <t>frontend/shared/dtos/ipd/admission.ts:58</t>
  </si>
  <si>
    <t>backend/src/Modules/IPD/HMS.Modules.IPD/Contracts/AdmissionContracts.cs:63</t>
  </si>
  <si>
    <t>DIS-02</t>
  </si>
  <si>
    <t>DischargeAdmissionRequest.dischargeType</t>
  </si>
  <si>
    <t>DischargeAdmissionRequest.DischargeType</t>
  </si>
  <si>
    <t>frontend/web/src/features/ipd/admissions/components/DischargeForm.tsx:78</t>
  </si>
  <si>
    <t>frontend/shared/dtos/ipd/admission.ts:59</t>
  </si>
  <si>
    <t>backend/src/Modules/IPD/HMS.Modules.IPD/Contracts/AdmissionContracts.cs:64</t>
  </si>
  <si>
    <t>DIS-03</t>
  </si>
  <si>
    <t>DischargeAdmissionRequest.finalDiagnosis</t>
  </si>
  <si>
    <t>DischargeAdmissionRequest.FinalDiagnosis</t>
  </si>
  <si>
    <t>frontend/web/src/features/ipd/admissions/components/DischargeForm.tsx:102</t>
  </si>
  <si>
    <t>frontend/shared/dtos/ipd/admission.ts:60</t>
  </si>
  <si>
    <t>backend/src/Modules/IPD/HMS.Modules.IPD/Contracts/AdmissionContracts.cs:65</t>
  </si>
  <si>
    <t>Copied into the Discharge Summary's Final diagnosis when the summary is created.</t>
  </si>
  <si>
    <t>DIS-04</t>
  </si>
  <si>
    <t>DischargeAdmissionRequest.dischargeNotes</t>
  </si>
  <si>
    <t>DischargeAdmissionRequest.DischargeNotes</t>
  </si>
  <si>
    <t>frontend/web/src/features/ipd/admissions/components/DischargeForm.tsx:113</t>
  </si>
  <si>
    <t>frontend/shared/dtos/ipd/admission.ts:61</t>
  </si>
  <si>
    <t>backend/src/Modules/IPD/HMS.Modules.IPD/Contracts/AdmissionContracts.cs:66</t>
  </si>
  <si>
    <t>DIS-05</t>
  </si>
  <si>
    <t>DischargeAdmissionRequest.followUpAdvice</t>
  </si>
  <si>
    <t>DischargeAdmissionRequest.FollowUpAdvice</t>
  </si>
  <si>
    <t>frontend/web/src/features/ipd/admissions/components/DischargeForm.tsx:124</t>
  </si>
  <si>
    <t>frontend/shared/dtos/ipd/admission.ts:62</t>
  </si>
  <si>
    <t>backend/src/Modules/IPD/HMS.Modules.IPD/Contracts/AdmissionContracts.cs:67</t>
  </si>
  <si>
    <t>DIS-06</t>
  </si>
  <si>
    <t>Confirm Discharge</t>
  </si>
  <si>
    <t>Also posts the bed charges (highest tariff per day)</t>
  </si>
  <si>
    <t>frontend/web/src/features/ipd/admissions/components/DischargeForm.tsx:135</t>
  </si>
  <si>
    <t>DIS-07</t>
  </si>
  <si>
    <t>Discharge Summary card (once Discharged)</t>
  </si>
  <si>
    <t>Discharge Summary status</t>
  </si>
  <si>
    <t>Draft / Finalized badge</t>
  </si>
  <si>
    <t>Draft | Finalized</t>
  </si>
  <si>
    <t>DischargeSummary.status</t>
  </si>
  <si>
    <t>DischargeSummaryResponse.Status</t>
  </si>
  <si>
    <t>GET / POST /api/v1/admissions/{admissionId}/discharge-summary</t>
  </si>
  <si>
    <t>discharge-summary.view / .create</t>
  </si>
  <si>
    <t>frontend/web/src/features/dischargeSummary/components/DischargeSummaryEntryCard.tsx:75</t>
  </si>
  <si>
    <t>frontend/shared/dtos/dischargeSummary/dischargeSummary.ts:112</t>
  </si>
  <si>
    <t>backend/src/Modules/DischargeSummary/HMS.Modules.DischargeSummary/Contracts/DischargeSummaryContracts.cs:130</t>
  </si>
  <si>
    <t>DIS-08</t>
  </si>
  <si>
    <t>Create Discharge Summary</t>
  </si>
  <si>
    <t>Button (when none exists)</t>
  </si>
  <si>
    <t>Creates a Draft pre-filled with the admission's Final diagnosis, then opens the edit page</t>
  </si>
  <si>
    <t>frontend/web/src/features/dischargeSummary/components/DischargeSummaryEntryCard.tsx:67</t>
  </si>
  <si>
    <t>DIS-09</t>
  </si>
  <si>
    <t>Continue / View Discharge Summary</t>
  </si>
  <si>
    <t>Draft opens the edit page; Finalized opens the view page</t>
  </si>
  <si>
    <t>frontend/web/src/features/dischargeSummary/components/DischargeSummaryEntryCard.tsx:85</t>
  </si>
  <si>
    <t>DSS-01</t>
  </si>
  <si>
    <t>Discharge › Discharge Summary page</t>
  </si>
  <si>
    <t>Admission Details (read-only)</t>
  </si>
  <si>
    <t>Patient name</t>
  </si>
  <si>
    <t>Patient.firstName / Patient.lastName</t>
  </si>
  <si>
    <t>PatientResponse.FirstName / PatientResponse.LastName</t>
  </si>
  <si>
    <t>GET /api/v1/patients/{patientId}</t>
  </si>
  <si>
    <t>patients view</t>
  </si>
  <si>
    <t>frontend/web/src/features/dischargeSummary/components/AdmissionHeaderCard.tsx:35</t>
  </si>
  <si>
    <t>frontend/shared/dtos/patients/patient.ts:49</t>
  </si>
  <si>
    <t>backend/src/Modules/Patients/HMS.Modules.Patients/Contracts/PatientResponse.cs:9</t>
  </si>
  <si>
    <t>DSS-02</t>
  </si>
  <si>
    <t>Patient.uhid</t>
  </si>
  <si>
    <t>PatientResponse.Uhid</t>
  </si>
  <si>
    <t>frontend/web/src/features/dischargeSummary/components/AdmissionHeaderCard.tsx:36</t>
  </si>
  <si>
    <t>frontend/shared/dtos/patients/patient.ts:46</t>
  </si>
  <si>
    <t>backend/src/Modules/Patients/HMS.Modules.Patients/Contracts/PatientResponse.cs:6</t>
  </si>
  <si>
    <t>DSS-03</t>
  </si>
  <si>
    <t>Patient.age / Patient.gender</t>
  </si>
  <si>
    <t>PatientResponse.Age / PatientResponse.Gender</t>
  </si>
  <si>
    <t>frontend/web/src/features/dischargeSummary/components/AdmissionHeaderCard.tsx:37</t>
  </si>
  <si>
    <t>frontend/shared/dtos/patients/patient.ts:52</t>
  </si>
  <si>
    <t>backend/src/Modules/Patients/HMS.Modules.Patients/Contracts/PatientResponse.cs:12</t>
  </si>
  <si>
    <t>DSS-04</t>
  </si>
  <si>
    <t>Address</t>
  </si>
  <si>
    <t>Address (lines 1–3 only)</t>
  </si>
  <si>
    <t>Patient.address</t>
  </si>
  <si>
    <t>PatientResponse.Address</t>
  </si>
  <si>
    <t>frontend/web/src/features/dischargeSummary/components/AdmissionHeaderCard.tsx:38</t>
  </si>
  <si>
    <t>frontend/shared/dtos/patients/patient.ts:69</t>
  </si>
  <si>
    <t>backend/src/Modules/Patients/HMS.Modules.Patients/Contracts/PatientResponse.cs:29</t>
  </si>
  <si>
    <t>DSS-05</t>
  </si>
  <si>
    <t>Allergies</t>
  </si>
  <si>
    <t>Allergies ("None recorded" if empty)</t>
  </si>
  <si>
    <t>Patient.allergies</t>
  </si>
  <si>
    <t>PatientResponse.Allergies</t>
  </si>
  <si>
    <t>frontend/web/src/features/dischargeSummary/components/AdmissionHeaderCard.tsx:39</t>
  </si>
  <si>
    <t>frontend/shared/dtos/patients/patient.ts:70</t>
  </si>
  <si>
    <t>backend/src/Modules/Patients/HMS.Modules.Patients/Contracts/PatientResponse.cs:30</t>
  </si>
  <si>
    <t>DSS-06</t>
  </si>
  <si>
    <t>frontend/web/src/features/dischargeSummary/components/AdmissionHeaderCard.tsx:40</t>
  </si>
  <si>
    <t>DSS-07</t>
  </si>
  <si>
    <t>frontend/web/src/features/dischargeSummary/components/AdmissionHeaderCard.tsx:41</t>
  </si>
  <si>
    <t>DSS-08</t>
  </si>
  <si>
    <t>Admission date</t>
  </si>
  <si>
    <t>frontend/web/src/features/dischargeSummary/components/AdmissionHeaderCard.tsx:42</t>
  </si>
  <si>
    <t>DSS-09</t>
  </si>
  <si>
    <t>frontend/web/src/features/dischargeSummary/components/AdmissionHeaderCard.tsx:43</t>
  </si>
  <si>
    <t>DSS-10</t>
  </si>
  <si>
    <t>Discharge date</t>
  </si>
  <si>
    <t>frontend/web/src/features/dischargeSummary/components/AdmissionHeaderCard.tsx:45</t>
  </si>
  <si>
    <t>DSS-11</t>
  </si>
  <si>
    <t>AI draft (feature discharge-summary-ai-draft)</t>
  </si>
  <si>
    <t>Draft with AI</t>
  </si>
  <si>
    <t>Fills narrative and advice fields from IPD notes/orders, and vitals from the last IPD reading. Nothing is saved until Save</t>
  </si>
  <si>
    <t>POST /api/v1/discharge-summaries/{id}/ai/draft</t>
  </si>
  <si>
    <t>discharge-summary.edit</t>
  </si>
  <si>
    <t>frontend/web/src/features/dischargeSummary/components/AiDraftPanel.tsx:123</t>
  </si>
  <si>
    <t>DSS-12</t>
  </si>
  <si>
    <t>Diagnosis &amp; Clinical Summary</t>
  </si>
  <si>
    <t>Same label on the view page</t>
  </si>
  <si>
    <t>No (read-only once Finalized)</t>
  </si>
  <si>
    <t>Max 2000; pre-filled from the admission at create</t>
  </si>
  <si>
    <t>DischargeSummary.finalDiagnosis</t>
  </si>
  <si>
    <t>DischargeSummaryResponse.FinalDiagnosis</t>
  </si>
  <si>
    <t>PUT /api/v1/discharge-summaries/{id}</t>
  </si>
  <si>
    <t>frontend/web/src/features/dischargeSummary/components/DischargeSummaryForm.tsx:132</t>
  </si>
  <si>
    <t>frontend/shared/dtos/dischargeSummary/dischargeSummary.ts:115</t>
  </si>
  <si>
    <t>backend/src/Modules/DischargeSummary/HMS.Modules.DischargeSummary/Contracts/DischargeSummaryContracts.cs:134</t>
  </si>
  <si>
    <t>DSS-13</t>
  </si>
  <si>
    <t>Chief complaints</t>
  </si>
  <si>
    <t>DischargeSummary.chiefComplaints</t>
  </si>
  <si>
    <t>DischargeSummaryResponse.ChiefComplaints</t>
  </si>
  <si>
    <t>frontend/web/src/features/dischargeSummary/components/DischargeSummaryForm.tsx:133</t>
  </si>
  <si>
    <t>frontend/shared/dtos/dischargeSummary/dischargeSummary.ts:118</t>
  </si>
  <si>
    <t>backend/src/Modules/DischargeSummary/HMS.Modules.DischargeSummary/Contracts/DischargeSummaryContracts.cs:137</t>
  </si>
  <si>
    <t>DSS-14</t>
  </si>
  <si>
    <t>History of presenting illness</t>
  </si>
  <si>
    <t>Max 8000</t>
  </si>
  <si>
    <t>DischargeSummary.historyOfPresentingIllness</t>
  </si>
  <si>
    <t>DischargeSummaryResponse.HistoryOfPresentingIllness</t>
  </si>
  <si>
    <t>frontend/web/src/features/dischargeSummary/components/DischargeSummaryForm.tsx:135</t>
  </si>
  <si>
    <t>frontend/shared/dtos/dischargeSummary/dischargeSummary.ts:119</t>
  </si>
  <si>
    <t>backend/src/Modules/DischargeSummary/HMS.Modules.DischargeSummary/Contracts/DischargeSummaryContracts.cs:138</t>
  </si>
  <si>
    <t>DSS-15</t>
  </si>
  <si>
    <t>Past medical history</t>
  </si>
  <si>
    <t>DischargeSummary.pastMedicalHistory</t>
  </si>
  <si>
    <t>DischargeSummaryResponse.PastMedicalHistory</t>
  </si>
  <si>
    <t>frontend/web/src/features/dischargeSummary/components/DischargeSummaryForm.tsx:142</t>
  </si>
  <si>
    <t>frontend/shared/dtos/dischargeSummary/dischargeSummary.ts:120</t>
  </si>
  <si>
    <t>backend/src/Modules/DischargeSummary/HMS.Modules.DischargeSummary/Contracts/DischargeSummaryContracts.cs:139</t>
  </si>
  <si>
    <t>DSS-16</t>
  </si>
  <si>
    <t>Past surgical history</t>
  </si>
  <si>
    <t>DischargeSummary.pastSurgicalHistory</t>
  </si>
  <si>
    <t>DischargeSummaryResponse.PastSurgicalHistory</t>
  </si>
  <si>
    <t>frontend/web/src/features/dischargeSummary/components/DischargeSummaryForm.tsx:143</t>
  </si>
  <si>
    <t>frontend/shared/dtos/dischargeSummary/dischargeSummary.ts:121</t>
  </si>
  <si>
    <t>backend/src/Modules/DischargeSummary/HMS.Modules.DischargeSummary/Contracts/DischargeSummaryContracts.cs:140</t>
  </si>
  <si>
    <t>DSS-17</t>
  </si>
  <si>
    <t>Family history</t>
  </si>
  <si>
    <t>DischargeSummary.familyHistory</t>
  </si>
  <si>
    <t>DischargeSummaryResponse.FamilyHistory</t>
  </si>
  <si>
    <t>frontend/web/src/features/dischargeSummary/components/DischargeSummaryForm.tsx:144</t>
  </si>
  <si>
    <t>frontend/shared/dtos/dischargeSummary/dischargeSummary.ts:122</t>
  </si>
  <si>
    <t>backend/src/Modules/DischargeSummary/HMS.Modules.DischargeSummary/Contracts/DischargeSummaryContracts.cs:141</t>
  </si>
  <si>
    <t>DSS-18</t>
  </si>
  <si>
    <t>Personal history</t>
  </si>
  <si>
    <t>DischargeSummary.personalHistory</t>
  </si>
  <si>
    <t>DischargeSummaryResponse.PersonalHistory</t>
  </si>
  <si>
    <t>frontend/web/src/features/dischargeSummary/components/DischargeSummaryForm.tsx:145</t>
  </si>
  <si>
    <t>frontend/shared/dtos/dischargeSummary/dischargeSummary.ts:123</t>
  </si>
  <si>
    <t>backend/src/Modules/DischargeSummary/HMS.Modules.DischargeSummary/Contracts/DischargeSummaryContracts.cs:142</t>
  </si>
  <si>
    <t>DSS-19</t>
  </si>
  <si>
    <t>Examination</t>
  </si>
  <si>
    <t>General examination</t>
  </si>
  <si>
    <t>DischargeSummary.generalExamination</t>
  </si>
  <si>
    <t>DischargeSummaryResponse.GeneralExamination</t>
  </si>
  <si>
    <t>frontend/web/src/features/dischargeSummary/components/DischargeSummaryForm.tsx:155</t>
  </si>
  <si>
    <t>frontend/shared/dtos/dischargeSummary/dischargeSummary.ts:126</t>
  </si>
  <si>
    <t>backend/src/Modules/DischargeSummary/HMS.Modules.DischargeSummary/Contracts/DischargeSummaryContracts.cs:145</t>
  </si>
  <si>
    <t>DSS-20</t>
  </si>
  <si>
    <t>CVS findings</t>
  </si>
  <si>
    <t>DischargeSummary.cvsFindings</t>
  </si>
  <si>
    <t>DischargeSummaryResponse.CvsFindings</t>
  </si>
  <si>
    <t>frontend/web/src/features/dischargeSummary/components/DischargeSummaryForm.tsx:157</t>
  </si>
  <si>
    <t>frontend/shared/dtos/dischargeSummary/dischargeSummary.ts:127</t>
  </si>
  <si>
    <t>backend/src/Modules/DischargeSummary/HMS.Modules.DischargeSummary/Contracts/DischargeSummaryContracts.cs:146</t>
  </si>
  <si>
    <t>DSS-21</t>
  </si>
  <si>
    <t>RS findings</t>
  </si>
  <si>
    <t>DischargeSummary.rsFindings</t>
  </si>
  <si>
    <t>DischargeSummaryResponse.RsFindings</t>
  </si>
  <si>
    <t>frontend/web/src/features/dischargeSummary/components/DischargeSummaryForm.tsx:158</t>
  </si>
  <si>
    <t>frontend/shared/dtos/dischargeSummary/dischargeSummary.ts:128</t>
  </si>
  <si>
    <t>backend/src/Modules/DischargeSummary/HMS.Modules.DischargeSummary/Contracts/DischargeSummaryContracts.cs:147</t>
  </si>
  <si>
    <t>DSS-22</t>
  </si>
  <si>
    <t>P/A findings</t>
  </si>
  <si>
    <t>DischargeSummary.paFindings</t>
  </si>
  <si>
    <t>DischargeSummaryResponse.PaFindings</t>
  </si>
  <si>
    <t>frontend/web/src/features/dischargeSummary/components/DischargeSummaryForm.tsx:159</t>
  </si>
  <si>
    <t>frontend/shared/dtos/dischargeSummary/dischargeSummary.ts:129</t>
  </si>
  <si>
    <t>backend/src/Modules/DischargeSummary/HMS.Modules.DischargeSummary/Contracts/DischargeSummaryContracts.cs:148</t>
  </si>
  <si>
    <t>DSS-23</t>
  </si>
  <si>
    <t>CNS findings</t>
  </si>
  <si>
    <t>DischargeSummary.cnsFindings</t>
  </si>
  <si>
    <t>DischargeSummaryResponse.CnsFindings</t>
  </si>
  <si>
    <t>frontend/web/src/features/dischargeSummary/components/DischargeSummaryForm.tsx:160</t>
  </si>
  <si>
    <t>frontend/shared/dtos/dischargeSummary/dischargeSummary.ts:130</t>
  </si>
  <si>
    <t>backend/src/Modules/DischargeSummary/HMS.Modules.DischargeSummary/Contracts/DischargeSummaryContracts.cs:149</t>
  </si>
  <si>
    <t>DSS-24</t>
  </si>
  <si>
    <t>Local examination</t>
  </si>
  <si>
    <t>DischargeSummary.localExamination</t>
  </si>
  <si>
    <t>DischargeSummaryResponse.LocalExamination</t>
  </si>
  <si>
    <t>frontend/web/src/features/dischargeSummary/components/DischargeSummaryForm.tsx:162</t>
  </si>
  <si>
    <t>frontend/shared/dtos/dischargeSummary/dischargeSummary.ts:131</t>
  </si>
  <si>
    <t>backend/src/Modules/DischargeSummary/HMS.Modules.DischargeSummary/Contracts/DischargeSummaryContracts.cs:150</t>
  </si>
  <si>
    <t>DSS-25</t>
  </si>
  <si>
    <t>Gait</t>
  </si>
  <si>
    <t>DischargeSummary.gait</t>
  </si>
  <si>
    <t>DischargeSummaryResponse.Gait</t>
  </si>
  <si>
    <t>frontend/web/src/features/dischargeSummary/components/DischargeSummaryForm.tsx:163</t>
  </si>
  <si>
    <t>frontend/shared/dtos/dischargeSummary/dischargeSummary.ts:132</t>
  </si>
  <si>
    <t>backend/src/Modules/DischargeSummary/HMS.Modules.DischargeSummary/Contracts/DischargeSummaryContracts.cs:151</t>
  </si>
  <si>
    <t>DSS-26</t>
  </si>
  <si>
    <t>DischargeSummary.heightCm</t>
  </si>
  <si>
    <t>DischargeSummaryResponse.HeightCm</t>
  </si>
  <si>
    <t>frontend/web/src/features/dischargeSummary/components/DischargeSummaryForm.tsx:166</t>
  </si>
  <si>
    <t>frontend/shared/dtos/dischargeSummary/dischargeSummary.ts:135</t>
  </si>
  <si>
    <t>backend/src/Modules/DischargeSummary/HMS.Modules.DischargeSummary/Contracts/DischargeSummaryContracts.cs:154</t>
  </si>
  <si>
    <t>DSS-27</t>
  </si>
  <si>
    <t>0–500</t>
  </si>
  <si>
    <t>DischargeSummary.weightKg</t>
  </si>
  <si>
    <t>DischargeSummaryResponse.WeightKg</t>
  </si>
  <si>
    <t>frontend/web/src/features/dischargeSummary/components/DischargeSummaryForm.tsx:167</t>
  </si>
  <si>
    <t>frontend/shared/dtos/dischargeSummary/dischargeSummary.ts:136</t>
  </si>
  <si>
    <t>backend/src/Modules/DischargeSummary/HMS.Modules.DischargeSummary/Contracts/DischargeSummaryContracts.cs:155</t>
  </si>
  <si>
    <t>DSS-28</t>
  </si>
  <si>
    <t>Pulse rate</t>
  </si>
  <si>
    <t>DischargeSummary.pulseRate</t>
  </si>
  <si>
    <t>DischargeSummaryResponse.PulseRate</t>
  </si>
  <si>
    <t>frontend/web/src/features/dischargeSummary/components/DischargeSummaryForm.tsx:168</t>
  </si>
  <si>
    <t>frontend/shared/dtos/dischargeSummary/dischargeSummary.ts:137</t>
  </si>
  <si>
    <t>backend/src/Modules/DischargeSummary/HMS.Modules.DischargeSummary/Contracts/DischargeSummaryContracts.cs:156</t>
  </si>
  <si>
    <t>DSS-29</t>
  </si>
  <si>
    <t>Respiratory rate</t>
  </si>
  <si>
    <t>DischargeSummary.respiratoryRate</t>
  </si>
  <si>
    <t>DischargeSummaryResponse.RespiratoryRate</t>
  </si>
  <si>
    <t>frontend/web/src/features/dischargeSummary/components/DischargeSummaryForm.tsx:169</t>
  </si>
  <si>
    <t>frontend/shared/dtos/dischargeSummary/dischargeSummary.ts:138</t>
  </si>
  <si>
    <t>backend/src/Modules/DischargeSummary/HMS.Modules.DischargeSummary/Contracts/DischargeSummaryContracts.cs:157</t>
  </si>
  <si>
    <t>DSS-30</t>
  </si>
  <si>
    <t>Temperature (°F)</t>
  </si>
  <si>
    <t>70–115</t>
  </si>
  <si>
    <t>DischargeSummary.temperatureF</t>
  </si>
  <si>
    <t>DischargeSummaryResponse.TemperatureF</t>
  </si>
  <si>
    <t>frontend/web/src/features/dischargeSummary/components/DischargeSummaryForm.tsx:170</t>
  </si>
  <si>
    <t>frontend/shared/dtos/dischargeSummary/dischargeSummary.ts:139</t>
  </si>
  <si>
    <t>backend/src/Modules/DischargeSummary/HMS.Modules.DischargeSummary/Contracts/DischargeSummaryContracts.cs:158</t>
  </si>
  <si>
    <t>DSS-31</t>
  </si>
  <si>
    <t>SpO₂ (%)</t>
  </si>
  <si>
    <t>DischargeSummary.spO2Percent</t>
  </si>
  <si>
    <t>DischargeSummaryResponse.SpO2Percent</t>
  </si>
  <si>
    <t>frontend/web/src/features/dischargeSummary/components/DischargeSummaryForm.tsx:171</t>
  </si>
  <si>
    <t>frontend/shared/dtos/dischargeSummary/dischargeSummary.ts:140</t>
  </si>
  <si>
    <t>backend/src/Modules/DischargeSummary/HMS.Modules.DischargeSummary/Contracts/DischargeSummaryContracts.cs:159</t>
  </si>
  <si>
    <t>DSS-32</t>
  </si>
  <si>
    <t>Blood pressure</t>
  </si>
  <si>
    <t>Free text such as 130/80 (blood-pressure format check)</t>
  </si>
  <si>
    <t>DischargeSummary.bloodPressure</t>
  </si>
  <si>
    <t>DischargeSummaryResponse.BloodPressure</t>
  </si>
  <si>
    <t>frontend/web/src/features/dischargeSummary/components/DischargeSummaryForm.tsx:173</t>
  </si>
  <si>
    <t>frontend/shared/dtos/dischargeSummary/dischargeSummary.ts:141</t>
  </si>
  <si>
    <t>backend/src/Modules/DischargeSummary/HMS.Modules.DischargeSummary/Contracts/DischargeSummaryContracts.cs:160</t>
  </si>
  <si>
    <t>DSS-33</t>
  </si>
  <si>
    <t>Course in Hospital</t>
  </si>
  <si>
    <t>Course in hospital</t>
  </si>
  <si>
    <t>DischargeSummary.courseInHospital</t>
  </si>
  <si>
    <t>DischargeSummaryResponse.CourseInHospital</t>
  </si>
  <si>
    <t>frontend/web/src/features/dischargeSummary/components/DischargeSummaryForm.tsx:183</t>
  </si>
  <si>
    <t>frontend/shared/dtos/dischargeSummary/dischargeSummary.ts:143</t>
  </si>
  <si>
    <t>backend/src/Modules/DischargeSummary/HMS.Modules.DischargeSummary/Contracts/DischargeSummaryContracts.cs:162</t>
  </si>
  <si>
    <t>DSS-34</t>
  </si>
  <si>
    <t>Procedures / OT</t>
  </si>
  <si>
    <t>Procedure name</t>
  </si>
  <si>
    <t>DischargeSummary.procedureName</t>
  </si>
  <si>
    <t>DischargeSummaryResponse.ProcedureName</t>
  </si>
  <si>
    <t>frontend/web/src/features/dischargeSummary/components/DischargeSummaryForm.tsx:199</t>
  </si>
  <si>
    <t>frontend/shared/dtos/dischargeSummary/dischargeSummary.ts:146</t>
  </si>
  <si>
    <t>backend/src/Modules/DischargeSummary/HMS.Modules.DischargeSummary/Contracts/DischargeSummaryContracts.cs:165</t>
  </si>
  <si>
    <t>DSS-35</t>
  </si>
  <si>
    <t>Procedure date/time</t>
  </si>
  <si>
    <t>Optional date-time</t>
  </si>
  <si>
    <t>DischargeSummary.procedureDateTime</t>
  </si>
  <si>
    <t>DischargeSummaryResponse.ProcedureDateTime</t>
  </si>
  <si>
    <t>frontend/web/src/features/dischargeSummary/components/DischargeSummaryForm.tsx:201</t>
  </si>
  <si>
    <t>frontend/shared/dtos/dischargeSummary/dischargeSummary.ts:147</t>
  </si>
  <si>
    <t>backend/src/Modules/DischargeSummary/HMS.Modules.DischargeSummary/Contracts/DischargeSummaryContracts.cs:166</t>
  </si>
  <si>
    <t>DSS-36</t>
  </si>
  <si>
    <t>Primary surgeon</t>
  </si>
  <si>
    <t>Max 500, free text</t>
  </si>
  <si>
    <t>DischargeSummary.primarySurgeon</t>
  </si>
  <si>
    <t>DischargeSummaryResponse.PrimarySurgeon</t>
  </si>
  <si>
    <t>frontend/web/src/features/dischargeSummary/components/DischargeSummaryForm.tsx:205</t>
  </si>
  <si>
    <t>frontend/shared/dtos/dischargeSummary/dischargeSummary.ts:148</t>
  </si>
  <si>
    <t>backend/src/Modules/DischargeSummary/HMS.Modules.DischargeSummary/Contracts/DischargeSummaryContracts.cs:167</t>
  </si>
  <si>
    <t>DSS-37</t>
  </si>
  <si>
    <t>Assistant surgeon(s)</t>
  </si>
  <si>
    <t>Max 1000, free text</t>
  </si>
  <si>
    <t>DischargeSummary.assistantSurgeons</t>
  </si>
  <si>
    <t>DischargeSummaryResponse.AssistantSurgeons</t>
  </si>
  <si>
    <t>frontend/web/src/features/dischargeSummary/components/DischargeSummaryForm.tsx:206</t>
  </si>
  <si>
    <t>frontend/shared/dtos/dischargeSummary/dischargeSummary.ts:149</t>
  </si>
  <si>
    <t>backend/src/Modules/DischargeSummary/HMS.Modules.DischargeSummary/Contracts/DischargeSummaryContracts.cs:168</t>
  </si>
  <si>
    <t>DSS-38</t>
  </si>
  <si>
    <t>Anaesthetist</t>
  </si>
  <si>
    <t>DischargeSummary.anaesthetist</t>
  </si>
  <si>
    <t>DischargeSummaryResponse.Anaesthetist</t>
  </si>
  <si>
    <t>frontend/web/src/features/dischargeSummary/components/DischargeSummaryForm.tsx:207</t>
  </si>
  <si>
    <t>frontend/shared/dtos/dischargeSummary/dischargeSummary.ts:150</t>
  </si>
  <si>
    <t>backend/src/Modules/DischargeSummary/HMS.Modules.DischargeSummary/Contracts/DischargeSummaryContracts.cs:169</t>
  </si>
  <si>
    <t>DSS-39</t>
  </si>
  <si>
    <t>Anaesthesia</t>
  </si>
  <si>
    <t>DischargeSummary.anaesthesia</t>
  </si>
  <si>
    <t>DischargeSummaryResponse.Anaesthesia</t>
  </si>
  <si>
    <t>frontend/web/src/features/dischargeSummary/components/DischargeSummaryForm.tsx:208</t>
  </si>
  <si>
    <t>frontend/shared/dtos/dischargeSummary/dischargeSummary.ts:151</t>
  </si>
  <si>
    <t>backend/src/Modules/DischargeSummary/HMS.Modules.DischargeSummary/Contracts/DischargeSummaryContracts.cs:170</t>
  </si>
  <si>
    <t>DSS-40</t>
  </si>
  <si>
    <t>Surgical position</t>
  </si>
  <si>
    <t>DischargeSummary.surgicalPosition</t>
  </si>
  <si>
    <t>DischargeSummaryResponse.SurgicalPosition</t>
  </si>
  <si>
    <t>frontend/web/src/features/dischargeSummary/components/DischargeSummaryForm.tsx:209</t>
  </si>
  <si>
    <t>frontend/shared/dtos/dischargeSummary/dischargeSummary.ts:152</t>
  </si>
  <si>
    <t>backend/src/Modules/DischargeSummary/HMS.Modules.DischargeSummary/Contracts/DischargeSummaryContracts.cs:171</t>
  </si>
  <si>
    <t>DSS-41</t>
  </si>
  <si>
    <t>Intra-operative findings</t>
  </si>
  <si>
    <t>DischargeSummary.intraOperativeFindings</t>
  </si>
  <si>
    <t>DischargeSummaryResponse.IntraOperativeFindings</t>
  </si>
  <si>
    <t>frontend/web/src/features/dischargeSummary/components/DischargeSummaryForm.tsx:212</t>
  </si>
  <si>
    <t>frontend/shared/dtos/dischargeSummary/dischargeSummary.ts:153</t>
  </si>
  <si>
    <t>backend/src/Modules/DischargeSummary/HMS.Modules.DischargeSummary/Contracts/DischargeSummaryContracts.cs:172</t>
  </si>
  <si>
    <t>DSS-42</t>
  </si>
  <si>
    <t>Operative notes</t>
  </si>
  <si>
    <t>DischargeSummary.operativeNotes</t>
  </si>
  <si>
    <t>DischargeSummaryResponse.OperativeNotes</t>
  </si>
  <si>
    <t>frontend/web/src/features/dischargeSummary/components/DischargeSummaryForm.tsx:218</t>
  </si>
  <si>
    <t>frontend/shared/dtos/dischargeSummary/dischargeSummary.ts:154</t>
  </si>
  <si>
    <t>backend/src/Modules/DischargeSummary/HMS.Modules.DischargeSummary/Contracts/DischargeSummaryContracts.cs:173</t>
  </si>
  <si>
    <t>DSS-43</t>
  </si>
  <si>
    <t>Discharge Medications</t>
  </si>
  <si>
    <t>Table column (one row per medicine)</t>
  </si>
  <si>
    <t>DischargeMedicationRequest.drugName</t>
  </si>
  <si>
    <t>DischargeMedicationRequest.DrugName</t>
  </si>
  <si>
    <t>PUT /api/v1/discharge-summaries/{id} (medications[])</t>
  </si>
  <si>
    <t>frontend/web/src/features/dischargeSummary/components/DischargeMedicationsTable.tsx:73</t>
  </si>
  <si>
    <t>frontend/shared/dtos/dischargeSummary/dischargeSummary.ts:10</t>
  </si>
  <si>
    <t>backend/src/Modules/DischargeSummary/HMS.Modules.DischargeSummary/Contracts/DischargeSummaryContracts.cs:11</t>
  </si>
  <si>
    <t>DSS-44</t>
  </si>
  <si>
    <t>DischargeMedicationRequest.dose</t>
  </si>
  <si>
    <t>DischargeMedicationRequest.Dose</t>
  </si>
  <si>
    <t>frontend/web/src/features/dischargeSummary/components/DischargeMedicationsTable.tsx:79</t>
  </si>
  <si>
    <t>frontend/shared/dtos/dischargeSummary/dischargeSummary.ts:11</t>
  </si>
  <si>
    <t>backend/src/Modules/DischargeSummary/HMS.Modules.DischargeSummary/Contracts/DischargeSummaryContracts.cs:12</t>
  </si>
  <si>
    <t>DSS-45</t>
  </si>
  <si>
    <t>DischargeMedicationRequest.route</t>
  </si>
  <si>
    <t>DischargeMedicationRequest.Route</t>
  </si>
  <si>
    <t>frontend/web/src/features/dischargeSummary/components/DischargeMedicationsTable.tsx:85</t>
  </si>
  <si>
    <t>frontend/shared/dtos/dischargeSummary/dischargeSummary.ts:12</t>
  </si>
  <si>
    <t>backend/src/Modules/DischargeSummary/HMS.Modules.DischargeSummary/Contracts/DischargeSummaryContracts.cs:13</t>
  </si>
  <si>
    <t>DSS-46</t>
  </si>
  <si>
    <t>M (morning qty)</t>
  </si>
  <si>
    <t>No (defaults to 0)</t>
  </si>
  <si>
    <t>≥ 0, step 0.5</t>
  </si>
  <si>
    <t>DischargeMedicationRequest.morningQty</t>
  </si>
  <si>
    <t>DischargeMedicationRequest.MorningQty</t>
  </si>
  <si>
    <t>frontend/web/src/features/dischargeSummary/components/DischargeMedicationsTable.tsx:91</t>
  </si>
  <si>
    <t>frontend/shared/dtos/dischargeSummary/dischargeSummary.ts:13</t>
  </si>
  <si>
    <t>backend/src/Modules/DischargeSummary/HMS.Modules.DischargeSummary/Contracts/DischargeSummaryContracts.cs:14</t>
  </si>
  <si>
    <t>DSS-47</t>
  </si>
  <si>
    <t>N (noon qty)</t>
  </si>
  <si>
    <t>DischargeMedicationRequest.noonQty</t>
  </si>
  <si>
    <t>DischargeMedicationRequest.NoonQty</t>
  </si>
  <si>
    <t>frontend/web/src/features/dischargeSummary/components/DischargeMedicationsTable.tsx:94</t>
  </si>
  <si>
    <t>frontend/shared/dtos/dischargeSummary/dischargeSummary.ts:14</t>
  </si>
  <si>
    <t>backend/src/Modules/DischargeSummary/HMS.Modules.DischargeSummary/Contracts/DischargeSummaryContracts.cs:15</t>
  </si>
  <si>
    <t>DSS-48</t>
  </si>
  <si>
    <t>E (evening qty)</t>
  </si>
  <si>
    <t>DischargeMedicationRequest.eveningQty</t>
  </si>
  <si>
    <t>DischargeMedicationRequest.EveningQty</t>
  </si>
  <si>
    <t>frontend/web/src/features/dischargeSummary/components/DischargeMedicationsTable.tsx:97</t>
  </si>
  <si>
    <t>frontend/shared/dtos/dischargeSummary/dischargeSummary.ts:15</t>
  </si>
  <si>
    <t>backend/src/Modules/DischargeSummary/HMS.Modules.DischargeSummary/Contracts/DischargeSummaryContracts.cs:16</t>
  </si>
  <si>
    <t>DSS-49</t>
  </si>
  <si>
    <t>N (night qty)</t>
  </si>
  <si>
    <t>DischargeMedicationRequest.nightQty</t>
  </si>
  <si>
    <t>DischargeMedicationRequest.NightQty</t>
  </si>
  <si>
    <t>frontend/web/src/features/dischargeSummary/components/DischargeMedicationsTable.tsx:100</t>
  </si>
  <si>
    <t>frontend/shared/dtos/dischargeSummary/dischargeSummary.ts:16</t>
  </si>
  <si>
    <t>backend/src/Modules/DischargeSummary/HMS.Modules.DischargeSummary/Contracts/DischargeSummaryContracts.cs:17</t>
  </si>
  <si>
    <t>DSS-50</t>
  </si>
  <si>
    <t>Days</t>
  </si>
  <si>
    <t>Whole number ≥ 0</t>
  </si>
  <si>
    <t>DischargeMedicationRequest.durationDays</t>
  </si>
  <si>
    <t>DischargeMedicationRequest.DurationDays</t>
  </si>
  <si>
    <t>frontend/web/src/features/dischargeSummary/components/DischargeMedicationsTable.tsx:103</t>
  </si>
  <si>
    <t>frontend/shared/dtos/dischargeSummary/dischargeSummary.ts:17</t>
  </si>
  <si>
    <t>backend/src/Modules/DischargeSummary/HMS.Modules.DischargeSummary/Contracts/DischargeSummaryContracts.cs:18</t>
  </si>
  <si>
    <t>DSS-51</t>
  </si>
  <si>
    <t>Food</t>
  </si>
  <si>
    <t>Before food | After food</t>
  </si>
  <si>
    <t>DischargeMedicationRequest.foodInstruction</t>
  </si>
  <si>
    <t>DischargeMedicationRequest.FoodInstruction</t>
  </si>
  <si>
    <t>frontend/web/src/features/dischargeSummary/components/DischargeMedicationsTable.tsx:111</t>
  </si>
  <si>
    <t>frontend/shared/dtos/dischargeSummary/dischargeSummary.ts:18</t>
  </si>
  <si>
    <t>backend/src/Modules/DischargeSummary/HMS.Modules.DischargeSummary/Contracts/DischargeSummaryContracts.cs:19</t>
  </si>
  <si>
    <t>DSS-52</t>
  </si>
  <si>
    <t>Row order</t>
  </si>
  <si>
    <t>Order of the rows in the table</t>
  </si>
  <si>
    <t>Implicit</t>
  </si>
  <si>
    <t>Saved as sortOrder; the PDF numbers rows in this order</t>
  </si>
  <si>
    <t>DischargeMedicationRequest.sortOrder</t>
  </si>
  <si>
    <t>DischargeMedicationRequest.SortOrder</t>
  </si>
  <si>
    <t>frontend/web/src/features/dischargeSummary/mapDischargeSummaryForm.ts:71</t>
  </si>
  <si>
    <t>frontend/shared/dtos/dischargeSummary/dischargeSummary.ts:9</t>
  </si>
  <si>
    <t>backend/src/Modules/DischargeSummary/HMS.Modules.DischargeSummary/Contracts/DischargeSummaryContracts.cs:10</t>
  </si>
  <si>
    <t>DSS-53</t>
  </si>
  <si>
    <t>Discharge Advice</t>
  </si>
  <si>
    <t>Diet</t>
  </si>
  <si>
    <t>DischargeSummary.diet</t>
  </si>
  <si>
    <t>DischargeSummaryResponse.Diet</t>
  </si>
  <si>
    <t>frontend/web/src/features/dischargeSummary/components/DischargeSummaryForm.tsx:236</t>
  </si>
  <si>
    <t>frontend/shared/dtos/dischargeSummary/dischargeSummary.ts:157</t>
  </si>
  <si>
    <t>backend/src/Modules/DischargeSummary/HMS.Modules.DischargeSummary/Contracts/DischargeSummaryContracts.cs:176</t>
  </si>
  <si>
    <t>DSS-54</t>
  </si>
  <si>
    <t>Wound care</t>
  </si>
  <si>
    <t>DischargeSummary.woundCare</t>
  </si>
  <si>
    <t>DischargeSummaryResponse.WoundCare</t>
  </si>
  <si>
    <t>frontend/web/src/features/dischargeSummary/components/DischargeSummaryForm.tsx:237</t>
  </si>
  <si>
    <t>frontend/shared/dtos/dischargeSummary/dischargeSummary.ts:158</t>
  </si>
  <si>
    <t>backend/src/Modules/DischargeSummary/HMS.Modules.DischargeSummary/Contracts/DischargeSummaryContracts.cs:177</t>
  </si>
  <si>
    <t>DSS-55</t>
  </si>
  <si>
    <t>Activity</t>
  </si>
  <si>
    <t>DischargeSummary.activity</t>
  </si>
  <si>
    <t>DischargeSummaryResponse.Activity</t>
  </si>
  <si>
    <t>frontend/web/src/features/dischargeSummary/components/DischargeSummaryForm.tsx:238</t>
  </si>
  <si>
    <t>frontend/shared/dtos/dischargeSummary/dischargeSummary.ts:159</t>
  </si>
  <si>
    <t>backend/src/Modules/DischargeSummary/HMS.Modules.DischargeSummary/Contracts/DischargeSummaryContracts.cs:178</t>
  </si>
  <si>
    <t>DSS-56</t>
  </si>
  <si>
    <t>Physiotherapy</t>
  </si>
  <si>
    <t>DischargeSummary.physiotherapy</t>
  </si>
  <si>
    <t>DischargeSummaryResponse.Physiotherapy</t>
  </si>
  <si>
    <t>frontend/web/src/features/dischargeSummary/components/DischargeSummaryForm.tsx:239</t>
  </si>
  <si>
    <t>frontend/shared/dtos/dischargeSummary/dischargeSummary.ts:160</t>
  </si>
  <si>
    <t>backend/src/Modules/DischargeSummary/HMS.Modules.DischargeSummary/Contracts/DischargeSummaryContracts.cs:179</t>
  </si>
  <si>
    <t>DSS-57</t>
  </si>
  <si>
    <t>Review instructions</t>
  </si>
  <si>
    <t>DischargeSummary.reviewInstructions</t>
  </si>
  <si>
    <t>DischargeSummaryResponse.ReviewInstructions</t>
  </si>
  <si>
    <t>frontend/web/src/features/dischargeSummary/components/DischargeSummaryForm.tsx:240</t>
  </si>
  <si>
    <t>frontend/shared/dtos/dischargeSummary/dischargeSummary.ts:161</t>
  </si>
  <si>
    <t>backend/src/Modules/DischargeSummary/HMS.Modules.DischargeSummary/Contracts/DischargeSummaryContracts.cs:180</t>
  </si>
  <si>
    <t>DSS-58</t>
  </si>
  <si>
    <t>Emergency instructions</t>
  </si>
  <si>
    <t>DischargeSummary.emergencyInstructions</t>
  </si>
  <si>
    <t>DischargeSummaryResponse.EmergencyInstructions</t>
  </si>
  <si>
    <t>frontend/web/src/features/dischargeSummary/components/DischargeSummaryForm.tsx:242</t>
  </si>
  <si>
    <t>frontend/shared/dtos/dischargeSummary/dischargeSummary.ts:162</t>
  </si>
  <si>
    <t>backend/src/Modules/DischargeSummary/HMS.Modules.DischargeSummary/Contracts/DischargeSummaryContracts.cs:181</t>
  </si>
  <si>
    <t>DSS-59</t>
  </si>
  <si>
    <t>Condition at discharge</t>
  </si>
  <si>
    <t>DischargeSummary.conditionAtDischarge</t>
  </si>
  <si>
    <t>DischargeSummaryResponse.ConditionAtDischarge</t>
  </si>
  <si>
    <t>frontend/web/src/features/dischargeSummary/components/DischargeSummaryForm.tsx:249</t>
  </si>
  <si>
    <t>frontend/shared/dtos/dischargeSummary/dischargeSummary.ts:163</t>
  </si>
  <si>
    <t>backend/src/Modules/DischargeSummary/HMS.Modules.DischargeSummary/Contracts/DischargeSummaryContracts.cs:182</t>
  </si>
  <si>
    <t>DSS-60</t>
  </si>
  <si>
    <t>Save</t>
  </si>
  <si>
    <t>Submit button (saves the whole summary)</t>
  </si>
  <si>
    <t>Draft only</t>
  </si>
  <si>
    <t>frontend/web/src/features/dischargeSummary/components/DischargeSummaryForm.tsx:260</t>
  </si>
  <si>
    <t>DSS-61</t>
  </si>
  <si>
    <t>Finalization</t>
  </si>
  <si>
    <t>Prepared by</t>
  </si>
  <si>
    <t>Staff picker</t>
  </si>
  <si>
    <t>Staff directory, or "— None —"</t>
  </si>
  <si>
    <t>FinalizeDischargeSummaryRequest.preparedByUserId</t>
  </si>
  <si>
    <t>FinalizeDischargeSummaryRequest.PreparedByUserId</t>
  </si>
  <si>
    <t>POST /api/v1/discharge-summaries/{id}/finalize</t>
  </si>
  <si>
    <t>discharge-summary.finalize</t>
  </si>
  <si>
    <t>frontend/web/src/features/dischargeSummary/components/FinalizationCard.tsx:39</t>
  </si>
  <si>
    <t>frontend/shared/dtos/dischargeSummary/dischargeSummary.ts:96</t>
  </si>
  <si>
    <t>backend/src/Modules/DischargeSummary/HMS.Modules.DischargeSummary/Contracts/DischargeSummaryContracts.cs:113</t>
  </si>
  <si>
    <t>DSS-62</t>
  </si>
  <si>
    <t>Checked by</t>
  </si>
  <si>
    <t>FinalizeDischargeSummaryRequest.checkedByUserId</t>
  </si>
  <si>
    <t>FinalizeDischargeSummaryRequest.CheckedByUserId</t>
  </si>
  <si>
    <t>frontend/web/src/features/dischargeSummary/components/FinalizationCard.tsx:43</t>
  </si>
  <si>
    <t>frontend/shared/dtos/dischargeSummary/dischargeSummary.ts:97</t>
  </si>
  <si>
    <t>backend/src/Modules/DischargeSummary/HMS.Modules.DischargeSummary/Contracts/DischargeSummaryContracts.cs:114</t>
  </si>
  <si>
    <t>DSS-63</t>
  </si>
  <si>
    <t>Consultant approved by</t>
  </si>
  <si>
    <t>FinalizeDischargeSummaryRequest.consultantApprovedByUserId</t>
  </si>
  <si>
    <t>FinalizeDischargeSummaryRequest.ConsultantApprovedByUserId</t>
  </si>
  <si>
    <t>frontend/web/src/features/dischargeSummary/components/FinalizationCard.tsx:47</t>
  </si>
  <si>
    <t>frontend/shared/dtos/dischargeSummary/dischargeSummary.ts:98</t>
  </si>
  <si>
    <t>backend/src/Modules/DischargeSummary/HMS.Modules.DischargeSummary/Contracts/DischargeSummaryContracts.cs:115</t>
  </si>
  <si>
    <t>DSS-64</t>
  </si>
  <si>
    <t>Finalize</t>
  </si>
  <si>
    <t>Locks the summary (status Finalized)</t>
  </si>
  <si>
    <t>frontend/web/src/pages/dischargeSummary/DischargeSummaryEditPage.tsx:158</t>
  </si>
  <si>
    <t>DSS-65</t>
  </si>
  <si>
    <t>View page (Finalized)</t>
  </si>
  <si>
    <t>Finalized at</t>
  </si>
  <si>
    <t>DischargeSummary.finalizedAt</t>
  </si>
  <si>
    <t>DischargeSummaryResponse.FinalizedAt</t>
  </si>
  <si>
    <t>GET /api/v1/admissions/{admissionId}/discharge-summary</t>
  </si>
  <si>
    <t>discharge-summary.view</t>
  </si>
  <si>
    <t>frontend/web/src/features/dischargeSummary/components/DischargeSummaryDetails.tsx:179</t>
  </si>
  <si>
    <t>frontend/shared/dtos/dischargeSummary/dischargeSummary.ts:170</t>
  </si>
  <si>
    <t>backend/src/Modules/DischargeSummary/HMS.Modules.DischargeSummary/Contracts/DischargeSummaryContracts.cs:189</t>
  </si>
  <si>
    <t>DSS-66</t>
  </si>
  <si>
    <t>Download PDF</t>
  </si>
  <si>
    <t>Button on the view page</t>
  </si>
  <si>
    <t>Builds the letterhead PDF in the browser</t>
  </si>
  <si>
    <t>frontend/web/src/pages/dischargeSummary/DischargeSummaryViewPage.tsx:87</t>
  </si>
  <si>
    <t>PDF Field ID</t>
  </si>
  <si>
    <t>Page / Section</t>
  </si>
  <si>
    <t>PDF Label</t>
  </si>
  <si>
    <t>Printed Value / Format</t>
  </si>
  <si>
    <t>Source Type</t>
  </si>
  <si>
    <t>Source Data Field</t>
  </si>
  <si>
    <t>UI Field ID(s)</t>
  </si>
  <si>
    <t>Shown When</t>
  </si>
  <si>
    <t>PDF Source (file:line)</t>
  </si>
  <si>
    <t>PDF-DS-01</t>
  </si>
  <si>
    <t>Letterhead header (every page)</t>
  </si>
  <si>
    <t>Logo</t>
  </si>
  <si>
    <t>Print logo, else primary logo, else the bundled logo; fitted to 92 × 19 mm</t>
  </si>
  <si>
    <t>Branding settings</t>
  </si>
  <si>
    <t>Branding print logo (resolveBrandLogoUrl 'print')</t>
  </si>
  <si>
    <t>Always; prints the hospital name instead if no logo loads</t>
  </si>
  <si>
    <t>frontend/web/src/features/dischargeSummary/exportDischargeSummaryPdf.ts:163</t>
  </si>
  <si>
    <t>PDF-DS-02</t>
  </si>
  <si>
    <t>Hospital name</t>
  </si>
  <si>
    <t>Branding hospital name, 16 pt bold</t>
  </si>
  <si>
    <t>BrandingConfigDto.hospitalName</t>
  </si>
  <si>
    <t>Only when there is no logo</t>
  </si>
  <si>
    <t>frontend/web/src/features/dischargeSummary/exportDischargeSummaryPdf.ts:168</t>
  </si>
  <si>
    <t>PDF-DS-03</t>
  </si>
  <si>
    <t>Letterhead header – dark panel (page 1)</t>
  </si>
  <si>
    <t>Treating consultant</t>
  </si>
  <si>
    <t>"Dr. " + name, white on the dark panel</t>
  </si>
  <si>
    <t>Consultant master</t>
  </si>
  <si>
    <t>Consultant.name, found by Admission.consultantId (else Admission.consultantName)</t>
  </si>
  <si>
    <t>HDR-06, DSS-09</t>
  </si>
  <si>
    <t>Page 1 only</t>
  </si>
  <si>
    <t>frontend/web/src/features/dischargeSummary/exportDischargeSummaryPdf.ts:181</t>
  </si>
  <si>
    <t>Looked up in frontend/web/src/features/dischargeSummary/hooks/useDischargeSummaryPdfExport.ts:60</t>
  </si>
  <si>
    <t>PDF-DS-04</t>
  </si>
  <si>
    <t>Consultant specialization</t>
  </si>
  <si>
    <t>Up to 3 lines</t>
  </si>
  <si>
    <t>Consultant.specialization</t>
  </si>
  <si>
    <t>Page 1, when set</t>
  </si>
  <si>
    <t>frontend/web/src/features/dischargeSummary/exportDischargeSummaryPdf.ts:185</t>
  </si>
  <si>
    <t>The Consultant master has no qualifications or registration number yet.</t>
  </si>
  <si>
    <t>PDF-DS-05</t>
  </si>
  <si>
    <t>Watermark (every page)</t>
  </si>
  <si>
    <t>Faint logo</t>
  </si>
  <si>
    <t>Logo at 7% opacity, centred</t>
  </si>
  <si>
    <t>Branding print logo</t>
  </si>
  <si>
    <t>When a logo loads</t>
  </si>
  <si>
    <t>frontend/web/src/features/dischargeSummary/exportDischargeSummaryPdf.ts:194</t>
  </si>
  <si>
    <t>PDF-DS-06</t>
  </si>
  <si>
    <t>Running header (page 2 onward)</t>
  </si>
  <si>
    <t>Patient · UHID · Adm No</t>
  </si>
  <si>
    <t>"{name}  ·  UHID: {uhid}  ·  Adm No: {admissionNumber}"</t>
  </si>
  <si>
    <t>Patient master + Admission record</t>
  </si>
  <si>
    <t>Patient.firstName/lastName, Patient.uhid, Admission.admissionNumber</t>
  </si>
  <si>
    <t>HDR-01, HDR-04, HDR-03</t>
  </si>
  <si>
    <t>Page 2 onward</t>
  </si>
  <si>
    <t>frontend/web/src/features/dischargeSummary/exportDischargeSummaryPdf.ts:315</t>
  </si>
  <si>
    <t>PDF-DS-07</t>
  </si>
  <si>
    <t>Discharge Summary</t>
  </si>
  <si>
    <t>Right-aligned running title</t>
  </si>
  <si>
    <t>Static text</t>
  </si>
  <si>
    <t>frontend/web/src/features/dischargeSummary/exportDischargeSummaryPdf.ts:316</t>
  </si>
  <si>
    <t>PDF-DS-08</t>
  </si>
  <si>
    <t>Title (page 1)</t>
  </si>
  <si>
    <t>DISCHARGE SUMMARY</t>
  </si>
  <si>
    <t>Centred, underlined</t>
  </si>
  <si>
    <t>frontend/web/src/features/dischargeSummary/exportDischargeSummaryPdf.ts:323</t>
  </si>
  <si>
    <t>PDF-DS-09</t>
  </si>
  <si>
    <t>Draft marker</t>
  </si>
  <si>
    <t>"DRAFT — NOT FINALIZED" in red</t>
  </si>
  <si>
    <t>Discharge Summary record</t>
  </si>
  <si>
    <t>When status is not Finalized</t>
  </si>
  <si>
    <t>frontend/web/src/features/dischargeSummary/exportDischargeSummaryPdf.ts:335</t>
  </si>
  <si>
    <t>PDF-DS-10</t>
  </si>
  <si>
    <t>Patient box</t>
  </si>
  <si>
    <t>Patient Name</t>
  </si>
  <si>
    <t>First + last name</t>
  </si>
  <si>
    <t>Patient master</t>
  </si>
  <si>
    <t>Patient.firstName + lastName</t>
  </si>
  <si>
    <t>HDR-01, DSS-01</t>
  </si>
  <si>
    <t>frontend/web/src/features/dischargeSummary/exportDischargeSummaryPdf.ts:348</t>
  </si>
  <si>
    <t>PDF-DS-11</t>
  </si>
  <si>
    <t>Age/Sex</t>
  </si>
  <si>
    <t>"{age} Yrs / {gender}"</t>
  </si>
  <si>
    <t>Patient.age, Patient.gender</t>
  </si>
  <si>
    <t>HDR-05, DSS-03</t>
  </si>
  <si>
    <t>frontend/web/src/features/dischargeSummary/exportDischargeSummaryPdf.ts:349</t>
  </si>
  <si>
    <t>PDF-DS-12</t>
  </si>
  <si>
    <t>As stored</t>
  </si>
  <si>
    <t>HDR-04, DSS-02</t>
  </si>
  <si>
    <t>frontend/web/src/features/dischargeSummary/exportDischargeSummaryPdf.ts:350</t>
  </si>
  <si>
    <t>PDF-DS-13</t>
  </si>
  <si>
    <t>Address lines 1–3, then "District, State - Pincode"</t>
  </si>
  <si>
    <t>Patient master + States/Districts masters</t>
  </si>
  <si>
    <t>Patient.address (+ district and state names)</t>
  </si>
  <si>
    <t>Always ("—" if empty)</t>
  </si>
  <si>
    <t>frontend/web/src/features/dischargeSummary/exportDischargeSummaryPdf.ts:353</t>
  </si>
  <si>
    <t>Built by resolvePatientAddress: frontend/web/src/features/dischargeSummary/hooks/useDischargeSummaryPdfExport.ts:33</t>
  </si>
  <si>
    <t>PDF-DS-14</t>
  </si>
  <si>
    <t>Adm No</t>
  </si>
  <si>
    <t>Admission number (ADM-…), not the IP No</t>
  </si>
  <si>
    <t>Admission record</t>
  </si>
  <si>
    <t>HDR-03, DSS-06</t>
  </si>
  <si>
    <t>frontend/web/src/features/dischargeSummary/exportDischargeSummaryPdf.ts:355</t>
  </si>
  <si>
    <t>PDF-DS-15</t>
  </si>
  <si>
    <t>DOA</t>
  </si>
  <si>
    <t>dd/mm/yyyy, hh:mm am/pm</t>
  </si>
  <si>
    <t>OVW-02, DSS-08</t>
  </si>
  <si>
    <t>frontend/web/src/features/dischargeSummary/exportDischargeSummaryPdf.ts:358</t>
  </si>
  <si>
    <t>PDF-DS-16</t>
  </si>
  <si>
    <t>DOD</t>
  </si>
  <si>
    <t>OVW-04, DIS-01, DSS-10</t>
  </si>
  <si>
    <t>Always ("—" if blank)</t>
  </si>
  <si>
    <t>frontend/web/src/features/dischargeSummary/exportDischargeSummaryPdf.ts:359</t>
  </si>
  <si>
    <t>PDF-DS-17</t>
  </si>
  <si>
    <t>Ward/Bed</t>
  </si>
  <si>
    <t>"{ward} / {bed}": the bed at discharge</t>
  </si>
  <si>
    <t>Admission.wardName / bedNumber</t>
  </si>
  <si>
    <t>HDR-07, DSS-07, OVW-11, OVW-12</t>
  </si>
  <si>
    <t>frontend/web/src/features/dischargeSummary/exportDischargeSummaryPdf.ts:360</t>
  </si>
  <si>
    <t>PDF-DS-18</t>
  </si>
  <si>
    <t>"Dr. " + name</t>
  </si>
  <si>
    <t>frontend/web/src/features/dischargeSummary/exportDischargeSummaryPdf.ts:363</t>
  </si>
  <si>
    <t>PDF-DS-19</t>
  </si>
  <si>
    <t>Each allergy's detail or type, comma-separated; else "None recorded"</t>
  </si>
  <si>
    <t>frontend/web/src/features/dischargeSummary/exportDischargeSummaryPdf.ts:364</t>
  </si>
  <si>
    <t>PDF-DS-20</t>
  </si>
  <si>
    <t>Vitals box</t>
  </si>
  <si>
    <t>Height</t>
  </si>
  <si>
    <t>"{n} cm"</t>
  </si>
  <si>
    <t>UI field (Discharge Summary page)</t>
  </si>
  <si>
    <t>DSS-26, VIT-09</t>
  </si>
  <si>
    <t>frontend/web/src/features/dischargeSummary/exportDischargeSummaryPdf.ts:373</t>
  </si>
  <si>
    <t>PDF-DS-21</t>
  </si>
  <si>
    <t>"{n} kg"</t>
  </si>
  <si>
    <t>DSS-27, VIT-08</t>
  </si>
  <si>
    <t>frontend/web/src/features/dischargeSummary/exportDischargeSummaryPdf.ts:374</t>
  </si>
  <si>
    <t>PDF-DS-22</t>
  </si>
  <si>
    <t>BMI</t>
  </si>
  <si>
    <t>weight ÷ (height in m)², 1 decimal</t>
  </si>
  <si>
    <t>Computed</t>
  </si>
  <si>
    <t>From DischargeSummary.heightCm and weightKg</t>
  </si>
  <si>
    <t>DSS-26, DSS-27</t>
  </si>
  <si>
    <t>"—" unless both are set</t>
  </si>
  <si>
    <t>frontend/web/src/features/dischargeSummary/exportDischargeSummaryPdf.ts:375</t>
  </si>
  <si>
    <t>PDF-DS-23</t>
  </si>
  <si>
    <t>PR</t>
  </si>
  <si>
    <t>"{n} /min"</t>
  </si>
  <si>
    <t>DSS-28, VIT-03</t>
  </si>
  <si>
    <t>frontend/web/src/features/dischargeSummary/exportDischargeSummaryPdf.ts:378</t>
  </si>
  <si>
    <t>PDF-DS-24</t>
  </si>
  <si>
    <t>BP</t>
  </si>
  <si>
    <t>"{text} mmHg"</t>
  </si>
  <si>
    <t>DSS-32, VIT-05, VIT-06</t>
  </si>
  <si>
    <t>frontend/web/src/features/dischargeSummary/exportDischargeSummaryPdf.ts:379</t>
  </si>
  <si>
    <t>PDF-DS-25</t>
  </si>
  <si>
    <t>DSS-29, VIT-04</t>
  </si>
  <si>
    <t>frontend/web/src/features/dischargeSummary/exportDischargeSummaryPdf.ts:380</t>
  </si>
  <si>
    <t>PDF-DS-26</t>
  </si>
  <si>
    <t>Temp</t>
  </si>
  <si>
    <t>"{n} °F"</t>
  </si>
  <si>
    <t>DSS-30, VIT-02</t>
  </si>
  <si>
    <t>frontend/web/src/features/dischargeSummary/exportDischargeSummaryPdf.ts:381</t>
  </si>
  <si>
    <t>PDF-DS-27</t>
  </si>
  <si>
    <t>"{n} %"</t>
  </si>
  <si>
    <t>DSS-31, VIT-07</t>
  </si>
  <si>
    <t>frontend/web/src/features/dischargeSummary/exportDischargeSummaryPdf.ts:382</t>
  </si>
  <si>
    <t>PDF-DS-28</t>
  </si>
  <si>
    <t>Presenting Complaints (page 1)</t>
  </si>
  <si>
    <t>Presenting Complaints</t>
  </si>
  <si>
    <t>Narrative</t>
  </si>
  <si>
    <t>frontend/web/src/features/dischargeSummary/exportDischargeSummaryPdf.ts:451</t>
  </si>
  <si>
    <t>PDF-DS-29</t>
  </si>
  <si>
    <t>Clinical History (page 1)</t>
  </si>
  <si>
    <t>Sub-labelled row</t>
  </si>
  <si>
    <t>When filled (whole section prints "—" if all blank)</t>
  </si>
  <si>
    <t>frontend/web/src/features/dischargeSummary/exportDischargeSummaryPdf.ts:454</t>
  </si>
  <si>
    <t>PDF-DS-30</t>
  </si>
  <si>
    <t>frontend/web/src/features/dischargeSummary/exportDischargeSummaryPdf.ts:455</t>
  </si>
  <si>
    <t>PDF-DS-31</t>
  </si>
  <si>
    <t>frontend/web/src/features/dischargeSummary/exportDischargeSummaryPdf.ts:456</t>
  </si>
  <si>
    <t>PDF-DS-32</t>
  </si>
  <si>
    <t>frontend/web/src/features/dischargeSummary/exportDischargeSummaryPdf.ts:457</t>
  </si>
  <si>
    <t>PDF-DS-33</t>
  </si>
  <si>
    <t>frontend/web/src/features/dischargeSummary/exportDischargeSummaryPdf.ts:458</t>
  </si>
  <si>
    <t>PDF-DS-34</t>
  </si>
  <si>
    <t>Examination Findings (page 1)</t>
  </si>
  <si>
    <t>frontend/web/src/features/dischargeSummary/exportDischargeSummaryPdf.ts:462</t>
  </si>
  <si>
    <t>PDF-DS-35</t>
  </si>
  <si>
    <t>CVS</t>
  </si>
  <si>
    <t>frontend/web/src/features/dischargeSummary/exportDischargeSummaryPdf.ts:463</t>
  </si>
  <si>
    <t>PDF-DS-36</t>
  </si>
  <si>
    <t>RS</t>
  </si>
  <si>
    <t>frontend/web/src/features/dischargeSummary/exportDischargeSummaryPdf.ts:464</t>
  </si>
  <si>
    <t>PDF-DS-37</t>
  </si>
  <si>
    <t>P/A</t>
  </si>
  <si>
    <t>frontend/web/src/features/dischargeSummary/exportDischargeSummaryPdf.ts:465</t>
  </si>
  <si>
    <t>PDF-DS-38</t>
  </si>
  <si>
    <t>CNS</t>
  </si>
  <si>
    <t>frontend/web/src/features/dischargeSummary/exportDischargeSummaryPdf.ts:466</t>
  </si>
  <si>
    <t>PDF-DS-39</t>
  </si>
  <si>
    <t>frontend/web/src/features/dischargeSummary/exportDischargeSummaryPdf.ts:467</t>
  </si>
  <si>
    <t>PDF-DS-40</t>
  </si>
  <si>
    <t>frontend/web/src/features/dischargeSummary/exportDischargeSummaryPdf.ts:468</t>
  </si>
  <si>
    <t>PDF-DS-41</t>
  </si>
  <si>
    <t>Diagnosis (starts page 2)</t>
  </si>
  <si>
    <t>DSS-12, OVW-06, DIS-03</t>
  </si>
  <si>
    <t>frontend/web/src/features/dischargeSummary/exportDischargeSummaryPdf.ts:474</t>
  </si>
  <si>
    <t>Pre-fill: backend/src/Modules/DischargeSummary/HMS.Modules.DischargeSummary/Application/DischargeSummaryService.cs:70</t>
  </si>
  <si>
    <t>PDF-DS-42</t>
  </si>
  <si>
    <t>frontend/web/src/features/dischargeSummary/exportDischargeSummaryPdf.ts:475</t>
  </si>
  <si>
    <t>PDF-DS-43</t>
  </si>
  <si>
    <t>Procedure / Operation Details</t>
  </si>
  <si>
    <t>Procedure</t>
  </si>
  <si>
    <t>Only if any procedure field is filled; then each filled row</t>
  </si>
  <si>
    <t>frontend/web/src/features/dischargeSummary/exportDischargeSummaryPdf.ts:478</t>
  </si>
  <si>
    <t>PDF-DS-44</t>
  </si>
  <si>
    <t>Date / time</t>
  </si>
  <si>
    <t>frontend/web/src/features/dischargeSummary/exportDischargeSummaryPdf.ts:479</t>
  </si>
  <si>
    <t>PDF-DS-45</t>
  </si>
  <si>
    <t>frontend/web/src/features/dischargeSummary/exportDischargeSummaryPdf.ts:480</t>
  </si>
  <si>
    <t>PDF-DS-46</t>
  </si>
  <si>
    <t>frontend/web/src/features/dischargeSummary/exportDischargeSummaryPdf.ts:481</t>
  </si>
  <si>
    <t>PDF-DS-47</t>
  </si>
  <si>
    <t>frontend/web/src/features/dischargeSummary/exportDischargeSummaryPdf.ts:482</t>
  </si>
  <si>
    <t>PDF-DS-48</t>
  </si>
  <si>
    <t>frontend/web/src/features/dischargeSummary/exportDischargeSummaryPdf.ts:483</t>
  </si>
  <si>
    <t>PDF-DS-49</t>
  </si>
  <si>
    <t>frontend/web/src/features/dischargeSummary/exportDischargeSummaryPdf.ts:484</t>
  </si>
  <si>
    <t>PDF-DS-50</t>
  </si>
  <si>
    <t>frontend/web/src/features/dischargeSummary/exportDischargeSummaryPdf.ts:485</t>
  </si>
  <si>
    <t>PDF-DS-51</t>
  </si>
  <si>
    <t>frontend/web/src/features/dischargeSummary/exportDischargeSummaryPdf.ts:486</t>
  </si>
  <si>
    <t>PDF-DS-52</t>
  </si>
  <si>
    <t>Condition at Discharge</t>
  </si>
  <si>
    <t>frontend/web/src/features/dischargeSummary/exportDischargeSummaryPdf.ts:491</t>
  </si>
  <si>
    <t>PDF-DS-53</t>
  </si>
  <si>
    <t>Plan of Management › Discharge medications</t>
  </si>
  <si>
    <t>Row number, in sortOrder</t>
  </si>
  <si>
    <t>DischargeMedication.sortOrder</t>
  </si>
  <si>
    <t>When there are medicines</t>
  </si>
  <si>
    <t>frontend/web/src/features/dischargeSummary/exportDischargeSummaryPdf.ts:499</t>
  </si>
  <si>
    <t>PDF-DS-54</t>
  </si>
  <si>
    <t>Medicine</t>
  </si>
  <si>
    <t>DischargeMedication.drugName</t>
  </si>
  <si>
    <t>frontend/web/src/features/dischargeSummary/exportDischargeSummaryPdf.ts:502</t>
  </si>
  <si>
    <t>PDF-DS-55</t>
  </si>
  <si>
    <t>DischargeMedication.dose</t>
  </si>
  <si>
    <t>frontend/web/src/features/dischargeSummary/exportDischargeSummaryPdf.ts:503</t>
  </si>
  <si>
    <t>PDF-DS-56</t>
  </si>
  <si>
    <t>DischargeMedication.route</t>
  </si>
  <si>
    <t>frontend/web/src/features/dischargeSummary/exportDischargeSummaryPdf.ts:504</t>
  </si>
  <si>
    <t>PDF-DS-57</t>
  </si>
  <si>
    <t>M-N-E-N</t>
  </si>
  <si>
    <t>"morning-noon-evening-night", e.g. 1-0-1-0</t>
  </si>
  <si>
    <t>DischargeMedication.morningQty/noonQty/eveningQty/nightQty</t>
  </si>
  <si>
    <t>DSS-46, DSS-47, DSS-48, DSS-49</t>
  </si>
  <si>
    <t>frontend/web/src/features/dischargeSummary/exportDischargeSummaryPdf.ts:505</t>
  </si>
  <si>
    <t>PDF-DS-58</t>
  </si>
  <si>
    <t>Whole number</t>
  </si>
  <si>
    <t>DischargeMedication.durationDays</t>
  </si>
  <si>
    <t>frontend/web/src/features/dischargeSummary/exportDischargeSummaryPdf.ts:506</t>
  </si>
  <si>
    <t>PDF-DS-59</t>
  </si>
  <si>
    <t>Before food / After food</t>
  </si>
  <si>
    <t>DischargeMedication.foodInstruction</t>
  </si>
  <si>
    <t>frontend/web/src/features/dischargeSummary/exportDischargeSummaryPdf.ts:507</t>
  </si>
  <si>
    <t>PDF-DS-60</t>
  </si>
  <si>
    <t>Plan of Management</t>
  </si>
  <si>
    <t>Discharge medications: None prescribed</t>
  </si>
  <si>
    <t>Fixed text</t>
  </si>
  <si>
    <t>When there are no medicines</t>
  </si>
  <si>
    <t>frontend/web/src/features/dischargeSummary/exportDischargeSummaryPdf.ts:527</t>
  </si>
  <si>
    <t>PDF-DS-61</t>
  </si>
  <si>
    <t>When filled</t>
  </si>
  <si>
    <t>frontend/web/src/features/dischargeSummary/exportDischargeSummaryPdf.ts:519</t>
  </si>
  <si>
    <t>PDF-DS-62</t>
  </si>
  <si>
    <t>frontend/web/src/features/dischargeSummary/exportDischargeSummaryPdf.ts:520</t>
  </si>
  <si>
    <t>PDF-DS-63</t>
  </si>
  <si>
    <t>frontend/web/src/features/dischargeSummary/exportDischargeSummaryPdf.ts:521</t>
  </si>
  <si>
    <t>PDF-DS-64</t>
  </si>
  <si>
    <t>frontend/web/src/features/dischargeSummary/exportDischargeSummaryPdf.ts:522</t>
  </si>
  <si>
    <t>PDF-DS-65</t>
  </si>
  <si>
    <t>Review</t>
  </si>
  <si>
    <t>frontend/web/src/features/dischargeSummary/exportDischargeSummaryPdf.ts:539</t>
  </si>
  <si>
    <t>PDF-DS-66</t>
  </si>
  <si>
    <t>Emergency Review (SOS)</t>
  </si>
  <si>
    <t>frontend/web/src/features/dischargeSummary/exportDischargeSummaryPdf.ts:540</t>
  </si>
  <si>
    <t>PDF-DS-67</t>
  </si>
  <si>
    <t>Sign-off (bottom of last page)</t>
  </si>
  <si>
    <t>Doctor's Signature</t>
  </si>
  <si>
    <t>Dotted signature line with label</t>
  </si>
  <si>
    <t>frontend/web/src/features/dischargeSummary/exportDischargeSummaryPdf.ts:556</t>
  </si>
  <si>
    <t>PDF-DS-68</t>
  </si>
  <si>
    <t>Signer name (under the line)</t>
  </si>
  <si>
    <t>"Dr. " + Consultant approved by, else the admission's consultant</t>
  </si>
  <si>
    <t>Staff directory / Admission record</t>
  </si>
  <si>
    <t>DischargeSummary.consultantApprovedByUserId → staff name; fallback Admission.consultantName</t>
  </si>
  <si>
    <t>DSS-63, HDR-06</t>
  </si>
  <si>
    <t>When either is set</t>
  </si>
  <si>
    <t>frontend/web/src/features/dischargeSummary/exportDischargeSummaryPdf.ts:546</t>
  </si>
  <si>
    <t>PDF-DS-69</t>
  </si>
  <si>
    <t>Staff first + last name</t>
  </si>
  <si>
    <t>Staff directory</t>
  </si>
  <si>
    <t>DischargeSummary.preparedByUserId</t>
  </si>
  <si>
    <t>When set</t>
  </si>
  <si>
    <t>frontend/web/src/features/dischargeSummary/exportDischargeSummaryPdf.ts:563</t>
  </si>
  <si>
    <t>PDF-DS-70</t>
  </si>
  <si>
    <t>DischargeSummary.checkedByUserId</t>
  </si>
  <si>
    <t>frontend/web/src/features/dischargeSummary/exportDischargeSummaryPdf.ts:564</t>
  </si>
  <si>
    <t>PDF-DS-71</t>
  </si>
  <si>
    <t>Finalized on</t>
  </si>
  <si>
    <t>When finalized</t>
  </si>
  <si>
    <t>frontend/web/src/features/dischargeSummary/exportDischargeSummaryPdf.ts:565</t>
  </si>
  <si>
    <t>PDF-DS-72</t>
  </si>
  <si>
    <t>Footer band (page 1)</t>
  </si>
  <si>
    <t>Consultants roster</t>
  </si>
  <si>
    <t>Up to 9 active consultants, 3 per row: "Dr. name" + specialization</t>
  </si>
  <si>
    <t>Active Consultant list (name, specialization)</t>
  </si>
  <si>
    <t>When the hospital has active consultants</t>
  </si>
  <si>
    <t>frontend/web/src/features/dischargeSummary/exportDischargeSummaryPdf.ts:206</t>
  </si>
  <si>
    <t>Open question from PR #382: which consultants belong in this footer.</t>
  </si>
  <si>
    <t>PDF-DS-73</t>
  </si>
  <si>
    <t>Hospital name · address · phone</t>
  </si>
  <si>
    <t>Centred contact line</t>
  </si>
  <si>
    <t>BrandingConfigDto.hospitalName / address / phoneNumber</t>
  </si>
  <si>
    <t>Only when there are no active consultants</t>
  </si>
  <si>
    <t>frontend/web/src/features/dischargeSummary/exportDischargeSummaryPdf.ts:244</t>
  </si>
  <si>
    <t>PDF-DS-74</t>
  </si>
  <si>
    <t>Footer band (page 2 onward)</t>
  </si>
  <si>
    <t>Hospital name + Phone</t>
  </si>
  <si>
    <t>White text on the dark panel</t>
  </si>
  <si>
    <t>BrandingConfigDto.hospitalName / phoneNumber</t>
  </si>
  <si>
    <t>frontend/web/src/features/dischargeSummary/exportDischargeSummaryPdf.ts:268</t>
  </si>
  <si>
    <t>PDF-DS-75</t>
  </si>
  <si>
    <t>Right-aligned on the blue panel, up to 4 lines</t>
  </si>
  <si>
    <t>BrandingConfigDto.address</t>
  </si>
  <si>
    <t>Page 2 onward, when set</t>
  </si>
  <si>
    <t>frontend/web/src/features/dischargeSummary/exportDischargeSummaryPdf.ts:277</t>
  </si>
  <si>
    <t>PDF-DS-76</t>
  </si>
  <si>
    <t>Every page</t>
  </si>
  <si>
    <t>Page X of Y</t>
  </si>
  <si>
    <t>Bottom-right of the frame</t>
  </si>
  <si>
    <t>frontend/web/src/features/dischargeSummary/exportDischargeSummaryPdf.ts:589</t>
  </si>
  <si>
    <t>PDF-DS-77</t>
  </si>
  <si>
    <t>File</t>
  </si>
  <si>
    <t>File name</t>
  </si>
  <si>
    <t>discharge-summary-{admissionNumber}.pdf</t>
  </si>
  <si>
    <t>frontend/web/src/features/dischargeSummary/exportDischargeSummaryPdf.ts:592</t>
  </si>
  <si>
    <t>PDF-INV-01</t>
  </si>
  <si>
    <t>Header</t>
  </si>
  <si>
    <t>Print logo, else primary logo, else the bundled logo</t>
  </si>
  <si>
    <t>useBrandLogo('print')</t>
  </si>
  <si>
    <t>frontend/web/src/features/billing/components/InvoicePrintTemplate.tsx:57</t>
  </si>
  <si>
    <t>PDF-INV-02</t>
  </si>
  <si>
    <t>Large bold, centred</t>
  </si>
  <si>
    <t>frontend/web/src/features/billing/components/InvoicePrintTemplate.tsx:58</t>
  </si>
  <si>
    <t>PDF-INV-03</t>
  </si>
  <si>
    <t>App title</t>
  </si>
  <si>
    <t>Small, under the hospital name</t>
  </si>
  <si>
    <t>BrandingConfigDto.appTitle</t>
  </si>
  <si>
    <t>frontend/web/src/features/billing/components/InvoicePrintTemplate.tsx:59</t>
  </si>
  <si>
    <t>PDF-INV-04</t>
  </si>
  <si>
    <t>Billed to</t>
  </si>
  <si>
    <t>Copied from the Patient when the final bill is generated</t>
  </si>
  <si>
    <t>Billing invoice</t>
  </si>
  <si>
    <t>Billing.patientName</t>
  </si>
  <si>
    <t>frontend/web/src/features/billing/components/InvoicePrintTemplate.tsx:67</t>
  </si>
  <si>
    <t>PDF-INV-05</t>
  </si>
  <si>
    <t>"UHID: …"</t>
  </si>
  <si>
    <t>Billing.patientUhid</t>
  </si>
  <si>
    <t>frontend/web/src/features/billing/components/InvoicePrintTemplate.tsx:68</t>
  </si>
  <si>
    <t>PDF-INV-06</t>
  </si>
  <si>
    <t>Invoice block</t>
  </si>
  <si>
    <t>Invoice No.</t>
  </si>
  <si>
    <t>Invoice number (else id)</t>
  </si>
  <si>
    <t>Billing.invoiceNumber</t>
  </si>
  <si>
    <t>frontend/web/src/features/billing/components/InvoicePrintTemplate.tsx:73</t>
  </si>
  <si>
    <t>Created by Generate Final Bill (BIL-16); linked from View Final Bill (BIL-17).</t>
  </si>
  <si>
    <t>PDF-INV-07</t>
  </si>
  <si>
    <t>Invoice date/time</t>
  </si>
  <si>
    <t>When the final bill was generated</t>
  </si>
  <si>
    <t>Billing.createdAt</t>
  </si>
  <si>
    <t>frontend/web/src/features/billing/components/InvoicePrintTemplate.tsx:76</t>
  </si>
  <si>
    <t>PDF-INV-08</t>
  </si>
  <si>
    <t>Status stamp</t>
  </si>
  <si>
    <t>PAID / PENDING / VOIDED / REVERTED</t>
  </si>
  <si>
    <t>Billing.isVoided, isReverted, items[].paymentStatus</t>
  </si>
  <si>
    <t>frontend/web/src/features/billing/components/InvoicePrintTemplate.tsx:42</t>
  </si>
  <si>
    <t>PDF-INV-09</t>
  </si>
  <si>
    <t>Void reason</t>
  </si>
  <si>
    <t>Small text under the stamp</t>
  </si>
  <si>
    <t>Billing.voidReason</t>
  </si>
  <si>
    <t>Only when voided</t>
  </si>
  <si>
    <t>frontend/web/src/features/billing/components/InvoicePrintTemplate.tsx:85</t>
  </si>
  <si>
    <t>PDF-INV-10</t>
  </si>
  <si>
    <t>Line items</t>
  </si>
  <si>
    <t>Row number</t>
  </si>
  <si>
    <t>frontend/web/src/features/billing/components/InvoicePrintTemplate.tsx:103</t>
  </si>
  <si>
    <t>PDF-INV-11</t>
  </si>
  <si>
    <t>Item / Service Details</t>
  </si>
  <si>
    <t>"InpatientCharge — {ChargeType}: {Remarks}"; pharmacy charges netted into one line</t>
  </si>
  <si>
    <t>Charges tab (via Generate Final Bill)</t>
  </si>
  <si>
    <t>AdmissionCharge.chargeType + remarks → InvoiceLineItem.serviceId</t>
  </si>
  <si>
    <t>BIL-01, BIL-03, ORD-03, LAB-02, OVW-22, DIS-06</t>
  </si>
  <si>
    <t>One row per charge (Pharmacy: one net row)</t>
  </si>
  <si>
    <t>frontend/web/src/features/billing/components/InvoicePrintTemplate.tsx:105</t>
  </si>
  <si>
    <t>Line text built in backend/src/Modules/IPD/HMS.Modules.IPD/Application/IPDBillingService.cs:87</t>
  </si>
  <si>
    <t>PDF-INV-12</t>
  </si>
  <si>
    <t>₹, quantity 1 × charge amount</t>
  </si>
  <si>
    <t>AdmissionCharge.amount → item.total</t>
  </si>
  <si>
    <t>One row per charge</t>
  </si>
  <si>
    <t>frontend/web/src/features/billing/components/InvoicePrintTemplate.tsx:108</t>
  </si>
  <si>
    <t>PDF-INV-13</t>
  </si>
  <si>
    <t>Totals</t>
  </si>
  <si>
    <t>Gross total</t>
  </si>
  <si>
    <t>₹</t>
  </si>
  <si>
    <t>Billing.grossAmount</t>
  </si>
  <si>
    <t>frontend/web/src/features/billing/components/InvoicePrintTemplate.tsx:120</t>
  </si>
  <si>
    <t>PDF-INV-14</t>
  </si>
  <si>
    <t>Net Payable</t>
  </si>
  <si>
    <t>₹; the advance is not deducted (ADR-067)</t>
  </si>
  <si>
    <t>Billing.netAmount</t>
  </si>
  <si>
    <t>frontend/web/src/features/billing/components/InvoicePrintTemplate.tsx:124</t>
  </si>
  <si>
    <t>PDF-INV-15</t>
  </si>
  <si>
    <t>Footer</t>
  </si>
  <si>
    <t>Billed by</t>
  </si>
  <si>
    <t>"Billed by {user} · {role}": the person printing, not the person who generated the bill</t>
  </si>
  <si>
    <t>System (user / time)</t>
  </si>
  <si>
    <t>Logged-in user name and role</t>
  </si>
  <si>
    <t>frontend/web/src/features/billing/components/InvoicePrintTemplate.tsx:131</t>
  </si>
  <si>
    <t>PDF-INV-16</t>
  </si>
  <si>
    <t>Print date/time</t>
  </si>
  <si>
    <t>now</t>
  </si>
  <si>
    <t>frontend/web/src/features/billing/components/InvoicePrintTemplate.tsx:134</t>
  </si>
  <si>
    <t>PDF-INV-17</t>
  </si>
  <si>
    <t>Thank-you line</t>
  </si>
  <si>
    <t>"Thank you for choosing {hospital}…"</t>
  </si>
  <si>
    <t>Static text + Branding settings</t>
  </si>
  <si>
    <t>frontend/web/src/features/billing/components/InvoicePrintTemplate.tsx:137</t>
  </si>
  <si>
    <t>PDF-LR-01</t>
  </si>
  <si>
    <t>frontend/web/src/features/laboratory/components/LabReportPrintTemplate.tsx:29</t>
  </si>
  <si>
    <t>PDF-LR-02</t>
  </si>
  <si>
    <t>frontend/web/src/features/laboratory/components/LabReportPrintTemplate.tsx:30</t>
  </si>
  <si>
    <t>PDF-LR-03</t>
  </si>
  <si>
    <t>frontend/web/src/features/laboratory/components/LabReportPrintTemplate.tsx:31</t>
  </si>
  <si>
    <t>PDF-LR-04</t>
  </si>
  <si>
    <t>Laboratory Report</t>
  </si>
  <si>
    <t>Title</t>
  </si>
  <si>
    <t>frontend/web/src/features/laboratory/components/LabReportPrintTemplate.tsx:32</t>
  </si>
  <si>
    <t>PDF-LR-05</t>
  </si>
  <si>
    <t>Patient</t>
  </si>
  <si>
    <t>Bold</t>
  </si>
  <si>
    <t>Laboratory module</t>
  </si>
  <si>
    <t>LabOrderResponse.patientName</t>
  </si>
  <si>
    <t>frontend/web/src/features/laboratory/components/LabReportPrintTemplate.tsx:38</t>
  </si>
  <si>
    <t>PDF-LR-06</t>
  </si>
  <si>
    <t>LabOrderResponse.patientUhid</t>
  </si>
  <si>
    <t>frontend/web/src/features/laboratory/components/LabReportPrintTemplate.tsx:39</t>
  </si>
  <si>
    <t>PDF-LR-07</t>
  </si>
  <si>
    <t>Source</t>
  </si>
  <si>
    <t>"IPD" for orders placed from the admission</t>
  </si>
  <si>
    <t>LabOrderResponse.source</t>
  </si>
  <si>
    <t>frontend/web/src/features/laboratory/components/LabReportPrintTemplate.tsx:40</t>
  </si>
  <si>
    <t>Set in backend/src/Modules/Laboratory/HMS.Modules.Laboratory/Domain/LabOrder.cs:211</t>
  </si>
  <si>
    <t>PDF-LR-08</t>
  </si>
  <si>
    <t>Order block</t>
  </si>
  <si>
    <t>Order No.</t>
  </si>
  <si>
    <t>Lab order number</t>
  </si>
  <si>
    <t>frontend/web/src/features/laboratory/components/LabReportPrintTemplate.tsx:44</t>
  </si>
  <si>
    <t>PDF-LR-09</t>
  </si>
  <si>
    <t>Ordered</t>
  </si>
  <si>
    <t>Date/time placed</t>
  </si>
  <si>
    <t>frontend/web/src/features/laboratory/components/LabReportPrintTemplate.tsx:46</t>
  </si>
  <si>
    <t>PDF-LR-10</t>
  </si>
  <si>
    <t>Generated</t>
  </si>
  <si>
    <t>Report generated date/time</t>
  </si>
  <si>
    <t>LabOrderResponse.reportGeneratedAt</t>
  </si>
  <si>
    <t>frontend/web/src/features/laboratory/components/LabReportPrintTemplate.tsx:47</t>
  </si>
  <si>
    <t>PDF-LR-11</t>
  </si>
  <si>
    <t>Released</t>
  </si>
  <si>
    <t>Report released date/time</t>
  </si>
  <si>
    <t>LabOrderResponse.reportReleasedAt</t>
  </si>
  <si>
    <t>frontend/web/src/features/laboratory/components/LabReportPrintTemplate.tsx:50</t>
  </si>
  <si>
    <t>PDF-LR-12</t>
  </si>
  <si>
    <t>Per test</t>
  </si>
  <si>
    <t>Test name</t>
  </si>
  <si>
    <t>Bold heading per test</t>
  </si>
  <si>
    <t>LAB-02, LAB-05</t>
  </si>
  <si>
    <t>One block per test</t>
  </si>
  <si>
    <t>frontend/web/src/features/laboratory/components/LabReportPrintTemplate.tsx:60</t>
  </si>
  <si>
    <t>PDF-LR-13</t>
  </si>
  <si>
    <t>Sample</t>
  </si>
  <si>
    <t>"Sample: {type}"</t>
  </si>
  <si>
    <t>LabOrderItemResponse.sampleType</t>
  </si>
  <si>
    <t>When collected</t>
  </si>
  <si>
    <t>frontend/web/src/features/laboratory/components/LabReportPrintTemplate.tsx:61</t>
  </si>
  <si>
    <t>PDF-LR-14</t>
  </si>
  <si>
    <t>Results table</t>
  </si>
  <si>
    <t>Parameter</t>
  </si>
  <si>
    <t>ResultParameterResponse.parameterName</t>
  </si>
  <si>
    <t>Per result parameter</t>
  </si>
  <si>
    <t>frontend/web/src/features/laboratory/components/LabReportPrintTemplate.tsx:79</t>
  </si>
  <si>
    <t>Entered on the Laboratory order page (/diagnostics/lab/orders/{id}), not on the admission page.</t>
  </si>
  <si>
    <t>PDF-LR-15</t>
  </si>
  <si>
    <t>Result</t>
  </si>
  <si>
    <t>ResultParameterResponse.resultValue</t>
  </si>
  <si>
    <t>frontend/web/src/features/laboratory/components/LabReportPrintTemplate.tsx:80</t>
  </si>
  <si>
    <t>PDF-LR-16</t>
  </si>
  <si>
    <t>Unit</t>
  </si>
  <si>
    <t>ResultParameterResponse.unit</t>
  </si>
  <si>
    <t>frontend/web/src/features/laboratory/components/LabReportPrintTemplate.tsx:81</t>
  </si>
  <si>
    <t>PDF-LR-17</t>
  </si>
  <si>
    <t>Reference Range</t>
  </si>
  <si>
    <t>ResultParameterResponse.referenceRange</t>
  </si>
  <si>
    <t>frontend/web/src/features/laboratory/components/LabReportPrintTemplate.tsx:82</t>
  </si>
  <si>
    <t>PDF-LR-18</t>
  </si>
  <si>
    <t>Flag</t>
  </si>
  <si>
    <t>Non-normal flags printed with "*"</t>
  </si>
  <si>
    <t>ResultParameterResponse.flag</t>
  </si>
  <si>
    <t>frontend/web/src/features/laboratory/components/LabReportPrintTemplate.tsx:83</t>
  </si>
  <si>
    <t>PDF-LR-19</t>
  </si>
  <si>
    <t>Verification note + Printed</t>
  </si>
  <si>
    <t>"Every result verified…" and the print date/time</t>
  </si>
  <si>
    <t>Static text + System (user / time)</t>
  </si>
  <si>
    <t>frontend/web/src/features/laboratory/components/LabReportPrintTemplate.tsx:94</t>
  </si>
  <si>
    <t>PDF-LR-20</t>
  </si>
  <si>
    <t>Electronic report note</t>
  </si>
  <si>
    <t>"…valid without a signature."</t>
  </si>
  <si>
    <t>frontend/web/src/features/laboratory/components/LabReportPrintTemplate.tsx:97</t>
  </si>
  <si>
    <t>PDF-PH-01</t>
  </si>
  <si>
    <t>Pharmacy / hospital name</t>
  </si>
  <si>
    <t>Pharmacy name, else Branding hospital name</t>
  </si>
  <si>
    <t>Pharmacy settings / Branding settings</t>
  </si>
  <si>
    <t>PharmacySettings.pharmacyName / BrandingConfigDto.hospitalName</t>
  </si>
  <si>
    <t>frontend/web/src/features/pharmacy/counter/BillPrint.tsx:25</t>
  </si>
  <si>
    <t>PDF-PH-02</t>
  </si>
  <si>
    <t>Bill header</t>
  </si>
  <si>
    <t>Patient (UHID)</t>
  </si>
  <si>
    <t>"Patient: {name} ({uhid})"</t>
  </si>
  <si>
    <t>Pharmacy module</t>
  </si>
  <si>
    <t>Sale.customerName, Sale.patientUhid</t>
  </si>
  <si>
    <t>HDR-01, HDR-04</t>
  </si>
  <si>
    <t>frontend/web/src/features/pharmacy/counter/BillPrint.tsx:64</t>
  </si>
  <si>
    <t>PDF-PH-03</t>
  </si>
  <si>
    <t>Doctor</t>
  </si>
  <si>
    <t>"Doctor: …"</t>
  </si>
  <si>
    <t>Sale.doctorName</t>
  </si>
  <si>
    <t>frontend/web/src/features/pharmacy/counter/BillPrint.tsx:68</t>
  </si>
  <si>
    <t>Pre-fill: frontend/web/src/pages/pharmacy/CounterPage.tsx:119</t>
  </si>
  <si>
    <t>PDF-PH-04</t>
  </si>
  <si>
    <t>Bill no</t>
  </si>
  <si>
    <t>Pharmacy bill number</t>
  </si>
  <si>
    <t>Sale.billNo</t>
  </si>
  <si>
    <t>frontend/web/src/features/pharmacy/counter/BillPrint.tsx:72</t>
  </si>
  <si>
    <t>PDF-PH-05</t>
  </si>
  <si>
    <t>IP credit</t>
  </si>
  <si>
    <t>Bold flag</t>
  </si>
  <si>
    <t>Sale.chargedToAdmission</t>
  </si>
  <si>
    <t>When charged to the admission</t>
  </si>
  <si>
    <t>frontend/web/src/features/pharmacy/counter/BillPrint.tsx:75</t>
  </si>
  <si>
    <t>The sale itself posts a Pharmacy charge to the admission, shown on the Billing tab's Charges (BIL-01) and netted into one Final Bill line.</t>
  </si>
  <si>
    <t>PDF-PH-06</t>
  </si>
  <si>
    <t>Payments</t>
  </si>
  <si>
    <t>On IP bill</t>
  </si>
  <si>
    <t>Payment row for the amount put on the admission</t>
  </si>
  <si>
    <t>frontend/web/src/features/pharmacy/counter/BillPrint.tsx:214</t>
  </si>
  <si>
    <t>Other pharmacy bill fields (items, batch, GST, payments) are outside the IP module and not listed here.</t>
  </si>
  <si>
    <t>UI ID</t>
  </si>
  <si>
    <t>DTO Field</t>
  </si>
  <si>
    <t>Data Flow / Notes</t>
  </si>
  <si>
    <t>Running header (page 2 onward) › Patient · UHID · Adm No; Patient box › Patient Name</t>
  </si>
  <si>
    <t>Billed to › Patient name</t>
  </si>
  <si>
    <t>Patient › Patient name</t>
  </si>
  <si>
    <t>Bill header › Patient (UHID)</t>
  </si>
  <si>
    <t>The same stored value is printed.</t>
  </si>
  <si>
    <t>frontend/web/src/features/dischargeSummary/exportDischargeSummaryPdf.ts:315; frontend/web/src/features/dischargeSummary/exportDischargeSummaryPdf.ts:348; frontend/web/src/features/billing/components/InvoicePrintTemplate.tsx:67; frontend/web/src/features/laboratory/components/LabReportPrintTemplate.tsx:38; frontend/web/src/features/pharmacy/counter/BillPrint.tsx:64</t>
  </si>
  <si>
    <t>Admission status is not printed; the PDF only prints the Discharge Summary's own Draft marker.</t>
  </si>
  <si>
    <t>Running header (page 2 onward) › Patient · UHID · Adm No; Patient box › Adm No; File › File name</t>
  </si>
  <si>
    <t>frontend/web/src/features/dischargeSummary/exportDischargeSummaryPdf.ts:315; frontend/web/src/features/dischargeSummary/exportDischargeSummaryPdf.ts:355; frontend/web/src/features/dischargeSummary/exportDischargeSummaryPdf.ts:592</t>
  </si>
  <si>
    <t>Running header (page 2 onward) › Patient · UHID · Adm No; Patient box › UHID</t>
  </si>
  <si>
    <t>Billed to › UHID</t>
  </si>
  <si>
    <t>Patient › UHID</t>
  </si>
  <si>
    <t>frontend/web/src/features/dischargeSummary/exportDischargeSummaryPdf.ts:315; frontend/web/src/features/dischargeSummary/exportDischargeSummaryPdf.ts:350; frontend/web/src/features/billing/components/InvoicePrintTemplate.tsx:68; frontend/web/src/features/laboratory/components/LabReportPrintTemplate.tsx:39; frontend/web/src/features/pharmacy/counter/BillPrint.tsx:64</t>
  </si>
  <si>
    <t>Patient box › Age/Sex</t>
  </si>
  <si>
    <t>The same stored value is printed. AI context: backend/src/Modules/DischargeSummary/HMS.Modules.DischargeSummary/Application/DischargeSummaryContextBuilder.cs:27.</t>
  </si>
  <si>
    <t>Letterhead header – dark panel (page 1) › Treating consultant; Patient box › Consultant; Sign-off (bottom of last page) › Signer name (under the line)</t>
  </si>
  <si>
    <t>Bill header › Doctor [copy: the Counter pre-fills Doctor with the admission's consultant]</t>
  </si>
  <si>
    <t>frontend/web/src/features/dischargeSummary/exportDischargeSummaryPdf.ts:181; frontend/web/src/features/dischargeSummary/exportDischargeSummaryPdf.ts:363; frontend/web/src/features/dischargeSummary/exportDischargeSummaryPdf.ts:546; frontend/web/src/features/pharmacy/counter/BillPrint.tsx:68</t>
  </si>
  <si>
    <t>Patient box › Ward/Bed</t>
  </si>
  <si>
    <t>The same stored value is printed. AI context: backend/src/Modules/DischargeSummary/HMS.Modules.DischargeSummary/Application/DischargeSummaryContextBuilder.cs:28.</t>
  </si>
  <si>
    <t>Not printed anywhere. The Discharge Summary PDF prints Adm No instead (ADR-104 lists printing the IP No as a follow-up).</t>
  </si>
  <si>
    <t>A button or link, not data.</t>
  </si>
  <si>
    <t>Not printed. Sent to the AI draft as context only. AI context: backend/src/Modules/DischargeSummary/HMS.Modules.DischargeSummary/Application/DischargeSummaryContextBuilder.cs:28.</t>
  </si>
  <si>
    <t>Patient box › DOA</t>
  </si>
  <si>
    <t>The same stored value is printed. AI context: backend/src/Modules/DischargeSummary/HMS.Modules.DischargeSummary/Application/DischargeSummaryContextBuilder.cs:29.</t>
  </si>
  <si>
    <t>Not printed. Sent to the AI draft, which may use it for Chief complaints / History. AI context: backend/src/Modules/DischargeSummary/HMS.Modules.DischargeSummary/Application/DischargeSummaryContextBuilder.cs:32.</t>
  </si>
  <si>
    <t>Patient box › DOD</t>
  </si>
  <si>
    <t>The same stored value is printed. AI context: backend/src/Modules/DischargeSummary/HMS.Modules.DischargeSummary/Application/DischargeSummaryContextBuilder.cs:30.</t>
  </si>
  <si>
    <t>Not printed: an AMA or Referred discharge does not show on the Discharge Summary. AI context: backend/src/Modules/DischargeSummary/HMS.Modules.DischargeSummary/Application/DischargeSummaryContextBuilder.cs:30.</t>
  </si>
  <si>
    <t>Diagnosis (starts page 2) › Diagnosis [copy: pre-filled into the Discharge Summary's Final diagnosis when the summary is created]</t>
  </si>
  <si>
    <t>The value is copied, or a record derived from it is printed (see the bracketed notes). AI context: backend/src/Modules/DischargeSummary/HMS.Modules.DischargeSummary/Application/DischargeSummaryContextBuilder.cs:33.</t>
  </si>
  <si>
    <t>Not printed. AI-draft context only. AI context: backend/src/Modules/DischargeSummary/HMS.Modules.DischargeSummary/Application/DischargeSummaryContextBuilder.cs:34.</t>
  </si>
  <si>
    <t>Not printed. AI-draft context only; the Discharge Summary has its own Review instructions. AI context: backend/src/Modules/DischargeSummary/HMS.Modules.DischargeSummary/Application/DischargeSummaryContextBuilder.cs:35.</t>
  </si>
  <si>
    <t>Not printed on any IP printout.</t>
  </si>
  <si>
    <t>Patient box › Ward/Bed [derived: a transfer changes the admission's current ward/bed]</t>
  </si>
  <si>
    <t>The value is copied, or a record derived from it is printed (see the bracketed notes).</t>
  </si>
  <si>
    <t>Not printed; the PDF shows only the final ward/bed.</t>
  </si>
  <si>
    <t>Line items › Item / Service Details [derived: at discharge, bed stays post one Bed Charge per day at the highest tariff]</t>
  </si>
  <si>
    <t>Not printed itself; at discharge it drives the Bed Charge lines on the Final Bill.</t>
  </si>
  <si>
    <t>Not printed. Sent to "Draft with AI" as context, which may paraphrase it into the Discharge Summary. AI context: backend/src/Modules/DischargeSummary/HMS.Modules.DischargeSummary/Application/DischargeSummaryContextBuilder.cs:140.</t>
  </si>
  <si>
    <t>Not printed. Sent to "Draft with AI" as context, which may paraphrase it into the Discharge Summary. AI context: backend/src/Modules/DischargeSummary/HMS.Modules.DischargeSummary/Application/DischargeSummaryContextBuilder.cs:134.</t>
  </si>
  <si>
    <t>Not printed. Sent to "Draft with AI" as context, which may paraphrase it into the Discharge Summary. AI context: backend/src/Modules/DischargeSummary/HMS.Modules.DischargeSummary/Application/DischargeSummaryContextBuilder.cs:135.</t>
  </si>
  <si>
    <t>Not printed. Sent to "Draft with AI" as context, which may paraphrase it into the Discharge Summary. AI context: backend/src/Modules/DischargeSummary/HMS.Modules.DischargeSummary/Application/DischargeSummaryContextBuilder.cs:136.</t>
  </si>
  <si>
    <t>Not printed. Sent to "Draft with AI" as context, which may paraphrase it into the Discharge Summary. AI context: backend/src/Modules/DischargeSummary/HMS.Modules.DischargeSummary/Application/DischargeSummaryContextBuilder.cs:137.</t>
  </si>
  <si>
    <t>Not printed. Sent to "Draft with AI" as context, which may paraphrase it into the Discharge Summary. AI context: backend/src/Modules/DischargeSummary/HMS.Modules.DischargeSummary/Application/DischargeSummaryContextBuilder.cs:138.</t>
  </si>
  <si>
    <t>Not printed. Sent to "Draft with AI" as context, which may paraphrase it into the Discharge Summary. AI context: backend/src/Modules/DischargeSummary/HMS.Modules.DischargeSummary/Application/DischargeSummaryContextBuilder.cs:139.</t>
  </si>
  <si>
    <t>Not printed. Sent to "Draft with AI" as context, which may paraphrase it into the Discharge Summary. AI context: backend/src/Modules/DischargeSummary/HMS.Modules.DischargeSummary/Application/DischargeSummaryContextBuilder.cs:77.</t>
  </si>
  <si>
    <t>Line items › Item / Service Details [derived: a catalog item posts a Doctor Order Charge (ADR-065)]</t>
  </si>
  <si>
    <t>Not printed itself; the Doctor Order Charge it posts appears on the Final Bill. Picking an item auto-posts a Doctor Order Charge on the Billing tab (ADR-065) and pre-fills Description.</t>
  </si>
  <si>
    <t>Not printed. Sent to "Draft with AI" as context, which may paraphrase it into the Discharge Summary. AI context: backend/src/Modules/DischargeSummary/HMS.Modules.DischargeSummary/Application/DischargeSummaryContextBuilder.cs:78.</t>
  </si>
  <si>
    <t>Not printed. Sent to "Draft with AI" as context, which may paraphrase it into the Discharge Summary. AI context: backend/src/Modules/DischargeSummary/HMS.Modules.DischargeSummary/Application/DischargeSummaryContextBuilder.cs:91.</t>
  </si>
  <si>
    <t>Not printed and not sent to the AI draft.</t>
  </si>
  <si>
    <t>Not printed. Sent to "Draft with AI" as context, which may paraphrase it into the Discharge Summary. AI context: backend/src/Modules/DischargeSummary/HMS.Modules.DischargeSummary/Application/DischargeSummaryContextBuilder.cs:92.</t>
  </si>
  <si>
    <t>Line items › Item / Service Details [derived: each test or package posts a Lab Charge (ADR-064)]</t>
  </si>
  <si>
    <t>Patient › Source [derived: orders placed here get Source = "IPD"]; Per test › Test name</t>
  </si>
  <si>
    <t>The same stored value is printed. Each line also posts a Lab Charge on the Billing tab (ADR-064). The order is a real Laboratory LabOrder with Source = "IPD".</t>
  </si>
  <si>
    <t>frontend/web/src/features/billing/components/InvoicePrintTemplate.tsx:105; frontend/web/src/features/laboratory/components/LabReportPrintTemplate.tsx:40; frontend/web/src/features/laboratory/components/LabReportPrintTemplate.tsx:60</t>
  </si>
  <si>
    <t>Order block › Order No.</t>
  </si>
  <si>
    <t>Per test › Test name</t>
  </si>
  <si>
    <t>Order block › Ordered</t>
  </si>
  <si>
    <t>Not printed. Sent to "Draft with AI" as context, which may paraphrase it into the Discharge Summary. AI context: backend/src/Modules/DischargeSummary/HMS.Modules.DischargeSummary/Application/DischargeSummaryContextBuilder.cs:58.</t>
  </si>
  <si>
    <t>Vitals box › Temp [copy: "Draft with AI" copies the last IPD vitals reading into the Discharge Summary]</t>
  </si>
  <si>
    <t>The value is copied, or a record derived from it is printed (see the bracketed notes). AI context: backend/src/Modules/DischargeSummary/HMS.Modules.DischargeSummary/Application/DischargeSummaryContextBuilder.cs:59. Copied into Discharge Summary vitals by "Draft with AI" (last reading)</t>
  </si>
  <si>
    <t>Vitals box › PR [copy: "Draft with AI" copies the last IPD vitals reading into the Discharge Summary]</t>
  </si>
  <si>
    <t>The value is copied, or a record derived from it is printed (see the bracketed notes). AI context: backend/src/Modules/DischargeSummary/HMS.Modules.DischargeSummary/Application/DischargeSummaryContextBuilder.cs:60. Copied into Discharge Summary vitals by "Draft with AI" (last reading)</t>
  </si>
  <si>
    <t>Vitals box › RR [copy: "Draft with AI" copies the last IPD vitals reading into the Discharge Summary]</t>
  </si>
  <si>
    <t>The value is copied, or a record derived from it is printed (see the bracketed notes). AI context: backend/src/Modules/DischargeSummary/HMS.Modules.DischargeSummary/Application/DischargeSummaryContextBuilder.cs:61. Copied into Discharge Summary vitals by "Draft with AI" (last reading)</t>
  </si>
  <si>
    <t>Vitals box › BP [copy: "Draft with AI" copies the last IPD vitals reading into the Discharge Summary]</t>
  </si>
  <si>
    <t>The value is copied, or a record derived from it is printed (see the bracketed notes). AI context: backend/src/Modules/DischargeSummary/HMS.Modules.DischargeSummary/Application/DischargeSummaryContextBuilder.cs:62. Copied into Discharge Summary vitals by "Draft with AI" (last reading) as "sys/dia"</t>
  </si>
  <si>
    <t>Vitals box › SpO2 [copy: "Draft with AI" copies the last IPD vitals reading into the Discharge Summary]</t>
  </si>
  <si>
    <t>The value is copied, or a record derived from it is printed (see the bracketed notes). AI context: backend/src/Modules/DischargeSummary/HMS.Modules.DischargeSummary/Application/DischargeSummaryContextBuilder.cs:63. Copied into Discharge Summary vitals by "Draft with AI" (last reading)</t>
  </si>
  <si>
    <t>Vitals box › Weight [copy: "Draft with AI" copies the last IPD vitals reading into the Discharge Summary]</t>
  </si>
  <si>
    <t>The value is copied, or a record derived from it is printed (see the bracketed notes). Copied into Discharge Summary vitals by "Draft with AI" (last reading) (not in the AI text context)</t>
  </si>
  <si>
    <t>Vitals box › Height [copy: "Draft with AI" copies the last IPD vitals reading into the Discharge Summary]</t>
  </si>
  <si>
    <t>Not printed. Sent to "Draft with AI" as context, which may paraphrase it into the Discharge Summary. AI context: backend/src/Modules/DischargeSummary/HMS.Modules.DischargeSummary/Application/DischargeSummaryContextBuilder.cs:64.</t>
  </si>
  <si>
    <t>Not printed. Sent to "Draft with AI" as context, which may paraphrase it into the Discharge Summary. AI context: backend/src/Modules/DischargeSummary/HMS.Modules.DischargeSummary/Application/DischargeSummaryContextBuilder.cs:65.</t>
  </si>
  <si>
    <t>Line items › Item / Service Details</t>
  </si>
  <si>
    <t>The same stored value is printed. Auto-posted charges: Bed (at discharge, highest tariff per day), Lab (lab orders), Doctor Order (catalog items), Pharmacy (IP credit sales).</t>
  </si>
  <si>
    <t>Line items › Amount</t>
  </si>
  <si>
    <t>Totals › Gross total (computed from); Totals › Net Payable (computed from)</t>
  </si>
  <si>
    <t>frontend/web/src/features/billing/components/InvoicePrintTemplate.tsx:120; frontend/web/src/features/billing/components/InvoicePrintTemplate.tsx:124</t>
  </si>
  <si>
    <t>The IP No is shown on screen only.</t>
  </si>
  <si>
    <t>Shown on screen only. The invoice does not deduct the advance (ADR-067).</t>
  </si>
  <si>
    <t>The value is copied, or a record derived from it is printed (see the bracketed notes). Copied into the Discharge Summary's Final diagnosis when the summary is created.</t>
  </si>
  <si>
    <t>Line items › Item / Service Details [derived: discharge posts the Bed Charges]</t>
  </si>
  <si>
    <t>Title (page 1) › Draft marker</t>
  </si>
  <si>
    <t>Patient box › Patient Name</t>
  </si>
  <si>
    <t>Saved on the Discharge Summary, printed by exportDischargeSummaryPdf.</t>
  </si>
  <si>
    <t>Patient box › UHID</t>
  </si>
  <si>
    <t>Patient box › Address</t>
  </si>
  <si>
    <t>Patient box › Allergies</t>
  </si>
  <si>
    <t>Patient box › Adm No</t>
  </si>
  <si>
    <t>Letterhead header – dark panel (page 1) › Treating consultant; Patient box › Consultant</t>
  </si>
  <si>
    <t>frontend/web/src/features/dischargeSummary/exportDischargeSummaryPdf.ts:181; frontend/web/src/features/dischargeSummary/exportDischargeSummaryPdf.ts:363</t>
  </si>
  <si>
    <t>Diagnosis (starts page 2) › Diagnosis</t>
  </si>
  <si>
    <t>Presenting Complaints (page 1) › Presenting Complaints</t>
  </si>
  <si>
    <t>Clinical History (page 1) › History of presenting illness</t>
  </si>
  <si>
    <t>Clinical History (page 1) › Past medical history</t>
  </si>
  <si>
    <t>Clinical History (page 1) › Past surgical history</t>
  </si>
  <si>
    <t>Clinical History (page 1) › Family history</t>
  </si>
  <si>
    <t>Clinical History (page 1) › Personal history</t>
  </si>
  <si>
    <t>Examination Findings (page 1) › General examination</t>
  </si>
  <si>
    <t>Examination Findings (page 1) › CVS</t>
  </si>
  <si>
    <t>Examination Findings (page 1) › RS</t>
  </si>
  <si>
    <t>Examination Findings (page 1) › P/A</t>
  </si>
  <si>
    <t>Examination Findings (page 1) › CNS</t>
  </si>
  <si>
    <t>Examination Findings (page 1) › Local examination</t>
  </si>
  <si>
    <t>Examination Findings (page 1) › Gait</t>
  </si>
  <si>
    <t>Vitals box › Height; Vitals box › BMI (computed from)</t>
  </si>
  <si>
    <t>frontend/web/src/features/dischargeSummary/exportDischargeSummaryPdf.ts:373; frontend/web/src/features/dischargeSummary/exportDischargeSummaryPdf.ts:375</t>
  </si>
  <si>
    <t>Vitals box › Weight; Vitals box › BMI (computed from)</t>
  </si>
  <si>
    <t>frontend/web/src/features/dischargeSummary/exportDischargeSummaryPdf.ts:374; frontend/web/src/features/dischargeSummary/exportDischargeSummaryPdf.ts:375</t>
  </si>
  <si>
    <t>Vitals box › PR</t>
  </si>
  <si>
    <t>Vitals box › RR</t>
  </si>
  <si>
    <t>Vitals box › Temp</t>
  </si>
  <si>
    <t>Vitals box › SpO2</t>
  </si>
  <si>
    <t>Vitals box › BP</t>
  </si>
  <si>
    <t>Course in Hospital › Course in Hospital</t>
  </si>
  <si>
    <t>Procedure / Operation Details › Procedure</t>
  </si>
  <si>
    <t>Procedure / Operation Details › Date / time</t>
  </si>
  <si>
    <t>Procedure / Operation Details › Primary surgeon</t>
  </si>
  <si>
    <t>Procedure / Operation Details › Assistant surgeon(s)</t>
  </si>
  <si>
    <t>Procedure / Operation Details › Anaesthetist</t>
  </si>
  <si>
    <t>Procedure / Operation Details › Anaesthesia</t>
  </si>
  <si>
    <t>Procedure / Operation Details › Surgical position</t>
  </si>
  <si>
    <t>Procedure / Operation Details › Intra-operative findings</t>
  </si>
  <si>
    <t>Procedure / Operation Details › Operative notes</t>
  </si>
  <si>
    <t>Plan of Management › Discharge medications › Medicine</t>
  </si>
  <si>
    <t>Plan of Management › Discharge medications › Dose</t>
  </si>
  <si>
    <t>Plan of Management › Discharge medications › Route</t>
  </si>
  <si>
    <t>Plan of Management › Discharge medications › M-N-E-N</t>
  </si>
  <si>
    <t>Plan of Management › Discharge medications › Days</t>
  </si>
  <si>
    <t>Plan of Management › Discharge medications › Food</t>
  </si>
  <si>
    <t>Plan of Management › Discharge medications › #</t>
  </si>
  <si>
    <t>Plan of Management › Diet</t>
  </si>
  <si>
    <t>Plan of Management › Wound care</t>
  </si>
  <si>
    <t>Plan of Management › Activity</t>
  </si>
  <si>
    <t>Plan of Management › Physiotherapy</t>
  </si>
  <si>
    <t>Review › Review</t>
  </si>
  <si>
    <t>Emergency Review (SOS) › Emergency Review (SOS)</t>
  </si>
  <si>
    <t>Condition at Discharge › Condition at Discharge</t>
  </si>
  <si>
    <t>Sign-off (bottom of last page) › Prepared by</t>
  </si>
  <si>
    <t>Sign-off (bottom of last page) › Checked by</t>
  </si>
  <si>
    <t>Sign-off (bottom of last page) › Signer name (under the line)</t>
  </si>
  <si>
    <t>Sign-off (bottom of last page) › Finalized on</t>
  </si>
  <si>
    <t>Gap ID</t>
  </si>
  <si>
    <t>Category</t>
  </si>
  <si>
    <t>Item</t>
  </si>
  <si>
    <t>Detail</t>
  </si>
  <si>
    <t>Affected UI / PDF IDs</t>
  </si>
  <si>
    <t>Evidence (file:line)</t>
  </si>
  <si>
    <t>Suggested Action</t>
  </si>
  <si>
    <t>Suggested Priority</t>
  </si>
  <si>
    <t>GAP-01</t>
  </si>
  <si>
    <t>Captured, not printed</t>
  </si>
  <si>
    <t>Admission.ipNumber is shown in the Patient Summary but printed on no document. The Discharge Summary prints Adm No (ADM-…). The Final Bill and Lab Report print neither.</t>
  </si>
  <si>
    <t>HDR-08, BIL-12; PDF-DS-14</t>
  </si>
  <si>
    <t>frontend/web/src/features/dischargeSummary/exportDischargeSummaryPdf.ts:355; docs/DecisionLog.md:156</t>
  </si>
  <si>
    <t>Print "IP No" beside Adm No on the Discharge Summary (and the Final Bill) when Admission.ipNumber is set.</t>
  </si>
  <si>
    <t>High</t>
  </si>
  <si>
    <t>GAP-02</t>
  </si>
  <si>
    <t>Discharge type (Normal / AMA / Referred)</t>
  </si>
  <si>
    <t>Captured at discharge and shown on Overview, but not printed. An AMA or Referred discharge is not on the summary.</t>
  </si>
  <si>
    <t>DIS-02, OVW-05</t>
  </si>
  <si>
    <t>Add "Discharge type" to the Discharge Summary patient box.</t>
  </si>
  <si>
    <t>GAP-03</t>
  </si>
  <si>
    <t>Advances have no receipt printout and do not appear on the Final Bill invoice (ADR-067). Balance due is on screen only.</t>
  </si>
  <si>
    <t>BIL-06…BIL-11, BIL-14, BIL-15</t>
  </si>
  <si>
    <t>frontend/web/src/features/ipd/admissions/components/FinalBillCard.tsx:43</t>
  </si>
  <si>
    <t>Add an Advance Receipt print, and show advance paid and balance on the Final Bill.</t>
  </si>
  <si>
    <t>GAP-04</t>
  </si>
  <si>
    <t>Lab orders and results</t>
  </si>
  <si>
    <t>The Discharge Summary PDF has no Investigations section; lab results print only on the separate Laboratory Report.</t>
  </si>
  <si>
    <t>LAB-02, LAB-04…LAB-08</t>
  </si>
  <si>
    <t>Consider an Investigations section (key results) on the Discharge Summary.</t>
  </si>
  <si>
    <t>Medium</t>
  </si>
  <si>
    <t>GAP-05</t>
  </si>
  <si>
    <t>Admission discharge notes and follow-up advice</t>
  </si>
  <si>
    <t>Captured on the Discharge form but not printed. The Discharge Summary asks for Review instructions again, so the same advice is entered twice.</t>
  </si>
  <si>
    <t>DIS-04, DIS-05, OVW-07, OVW-08</t>
  </si>
  <si>
    <t>Pre-fill Review instructions from Follow-up advice when the summary is created (as Final diagnosis already is).</t>
  </si>
  <si>
    <t>GAP-06</t>
  </si>
  <si>
    <t>Final Bill identity fields</t>
  </si>
  <si>
    <t>The invoice print has no Adm No, IP No, ward/bed, admission/discharge dates or consultant, so it is not identifiable as an IP bill.</t>
  </si>
  <si>
    <t>HDR-03, HDR-07, HDR-08, OVW-02, OVW-04</t>
  </si>
  <si>
    <t>frontend/web/src/features/billing/components/InvoicePrintTemplate.tsx:65</t>
  </si>
  <si>
    <t>Add an IP block (Adm No / IP No, DOA–DOD, ward/bed, consultant) when the invoice comes from an admission.</t>
  </si>
  <si>
    <t>GAP-07</t>
  </si>
  <si>
    <t>Clinical records (progress notes, doctor orders, medication orders, MAR, nursing assessment and notes)</t>
  </si>
  <si>
    <t>None of these is printed; there is no case sheet, nursing chart, MAR or vitals chart printout. Progress notes, vitals, doctor orders and medication orders only feed the AI draft. Nursing records and the MAR do not even do that.</t>
  </si>
  <si>
    <t>CLN-*, ORD-*, MED-*, NUR-*</t>
  </si>
  <si>
    <t>backend/src/Modules/DischargeSummary/HMS.Modules.DischargeSummary/Application/DischargeSummaryContextBuilder.cs:17</t>
  </si>
  <si>
    <t>Decide which IP printouts are required (case sheet, MAR, nursing chart) and add them.</t>
  </si>
  <si>
    <t>GAP-08</t>
  </si>
  <si>
    <t>IPD vitals series</t>
  </si>
  <si>
    <t>The Discharge Summary prints one vitals snapshot typed on the summary. IPD readings reach it only through "Draft with AI" (feature-flagged). Pain score and glucose are never printed.</t>
  </si>
  <si>
    <t>VIT-01…VIT-12</t>
  </si>
  <si>
    <t>backend/src/Modules/DischargeSummary/HMS.Modules.DischargeSummary/Application/IDischargeSummaryAiDraftService.cs:149</t>
  </si>
  <si>
    <t>Add a "copy last vitals" action that does not depend on the AI feature.</t>
  </si>
  <si>
    <t>Low</t>
  </si>
  <si>
    <t>GAP-09</t>
  </si>
  <si>
    <t>Reason for admission, admission type, department</t>
  </si>
  <si>
    <t>Not printed on the Discharge Summary. Department is captured on the Admission create page but is not shown on the admission page either.</t>
  </si>
  <si>
    <t>OVW-01, OVW-03</t>
  </si>
  <si>
    <t>frontend/shared/dtos/ipd/admission.ts:7</t>
  </si>
  <si>
    <t>Print Department and Admission type in the patient box if the hospital wants them.</t>
  </si>
  <si>
    <t>GAP-10</t>
  </si>
  <si>
    <t>Bed transfers</t>
  </si>
  <si>
    <t>Only the final ward/bed is printed; the transfer history and reasons are not.</t>
  </si>
  <si>
    <t>OVW-11…OVW-21</t>
  </si>
  <si>
    <t>Optional: list the transfers in the Course in Hospital section.</t>
  </si>
  <si>
    <t>GAP-11</t>
  </si>
  <si>
    <t>Captured but hidden in the on-screen lists</t>
  </si>
  <si>
    <t>Vitals Height and Notes, Nursing Assessment Nutrition status, Skin condition and Notes, and Medication order Ordered at and Instructions are saved but not shown in their history tables (and never printed).</t>
  </si>
  <si>
    <t>VIT-09, VIT-12, NUR-05, NUR-08, NUR-10, MED-05, MED-08</t>
  </si>
  <si>
    <t>frontend/web/src/features/ipd/admissions/components/VitalsPanel.tsx:93</t>
  </si>
  <si>
    <t>Show them in the tables (or an expandable row).</t>
  </si>
  <si>
    <t>GAP-12</t>
  </si>
  <si>
    <t>Who recorded each entry</t>
  </si>
  <si>
    <t>The DTOs carry authorUserId / orderedByUserId / recordedByUserId / assessedByUserId, but no panel sends or shows them, so no clinical entry shows who made it.</t>
  </si>
  <si>
    <t>CLN-*, ORD-*, MED-*, VIT-*, NUR-*</t>
  </si>
  <si>
    <t>frontend/shared/dtos/ipd/progressNote.ts:24</t>
  </si>
  <si>
    <t>Show "by {staff}" on each note, order and reading.</t>
  </si>
  <si>
    <t>GAP-13</t>
  </si>
  <si>
    <t>Cancel and discontinue reasons</t>
  </si>
  <si>
    <t>The API accepts a reason when cancelling a doctor order or discontinuing a medication, but the UI never asks for one.</t>
  </si>
  <si>
    <t>ORD-07, MED-09</t>
  </si>
  <si>
    <t>frontend/shared/dtos/ipd/doctorOrder.ts:15</t>
  </si>
  <si>
    <t>Prompt for a reason on Cancel and Discontinue.</t>
  </si>
  <si>
    <t>GAP-14</t>
  </si>
  <si>
    <t>Printed, no UI source on the admission page</t>
  </si>
  <si>
    <t>Letterhead branding</t>
  </si>
  <si>
    <t>Logo, hospital name, address, phone and app title come from Settings › Branding (Print logo).</t>
  </si>
  <si>
    <t>PDF-DS-01/02/05/73…75, PDF-INV-01…03, PDF-LR-01…03</t>
  </si>
  <si>
    <t>frontend/web/src/features/dischargeSummary/hooks/useDischargeSummaryPdfExport.ts:83</t>
  </si>
  <si>
    <t>None: master data. Keep Branding complete before printing.</t>
  </si>
  <si>
    <t>Info</t>
  </si>
  <si>
    <t>GAP-15</t>
  </si>
  <si>
    <t>Consultant specialization and footer roster</t>
  </si>
  <si>
    <t>Come from the Consultant master. There are no qualifications or registration numbers yet, and which consultants belong in the footer is still an open question (PR #382).</t>
  </si>
  <si>
    <t>PDF-DS-03, PDF-DS-04, PDF-DS-72</t>
  </si>
  <si>
    <t>frontend/web/src/features/dischargeSummary/exportDischargeSummaryPdf.ts:11</t>
  </si>
  <si>
    <t>Decide the footer rule; add qualification and registration number to the Consultant master if needed.</t>
  </si>
  <si>
    <t>GAP-16</t>
  </si>
  <si>
    <t>Patient address, allergies, age/sex</t>
  </si>
  <si>
    <t>Read live from the Patient record (registration), not from the admission. The PDF address adds district, state and pincode, which the on-screen header leaves out.</t>
  </si>
  <si>
    <t>PDF-DS-11, PDF-DS-13, PDF-DS-19</t>
  </si>
  <si>
    <t>frontend/web/src/features/dischargeSummary/hooks/useDischargeSummaryPdfExport.ts:33</t>
  </si>
  <si>
    <t>None: registration data. Align the on-screen address with the PDF.</t>
  </si>
  <si>
    <t>GAP-17</t>
  </si>
  <si>
    <t>Computed and system values</t>
  </si>
  <si>
    <t>BMI, page numbers, the Draft marker, invoice status stamp, "Billed by" (the person printing) and print time have no UI field.</t>
  </si>
  <si>
    <t>PDF-DS-22, PDF-DS-76, PDF-DS-09, PDF-INV-08, PDF-INV-15, PDF-INV-16</t>
  </si>
  <si>
    <t>frontend/web/src/features/dischargeSummary/exportDischargeSummaryPdf.ts:73</t>
  </si>
  <si>
    <t>None. Note that "Billed by" is whoever prints the invoice.</t>
  </si>
  <si>
    <t>GAP-18</t>
  </si>
  <si>
    <t>Lab results</t>
  </si>
  <si>
    <t>Parameters, results, units, reference ranges, flags, sample type and report times are entered in the Laboratory module, not on the admission page.</t>
  </si>
  <si>
    <t>PDF-LR-10…PDF-LR-18</t>
  </si>
  <si>
    <t>None: Laboratory workflow.</t>
  </si>
  <si>
    <t>GAP-19</t>
  </si>
  <si>
    <t>Signer fallback</t>
  </si>
  <si>
    <t>If Consultant approved by is blank, the signature line names the admission's consultant, who may not have approved the summary.</t>
  </si>
  <si>
    <t>Consider printing the fallback only on a Draft, or making Consultant approved by required at Finalize.</t>
  </si>
  <si>
    <t>GAP-20</t>
  </si>
  <si>
    <t>Label mismatch (UI vs PDF)</t>
  </si>
  <si>
    <t>Chief complaints → Presenting Complaints</t>
  </si>
  <si>
    <t>Same data, different wording between the form and the printout (or between the form and its list).</t>
  </si>
  <si>
    <t>DSS-13 / PDF-DS-28</t>
  </si>
  <si>
    <t>Decide whether the printed wording is intended; align the form labels if so.</t>
  </si>
  <si>
    <t>GAP-21</t>
  </si>
  <si>
    <t>Final diagnosis → Diagnosis</t>
  </si>
  <si>
    <t>DSS-12 / PDF-DS-41</t>
  </si>
  <si>
    <t>GAP-22</t>
  </si>
  <si>
    <t>CVS / RS / P/A / CNS findings → CVS / RS / P/A / CNS</t>
  </si>
  <si>
    <t>DSS-20…23 / PDF-DS-35…38</t>
  </si>
  <si>
    <t>GAP-23</t>
  </si>
  <si>
    <t>Pulse rate / Respiratory rate / Temperature (°F) / SpO₂ (%) / Blood pressure → PR / RR / Temp / SpO2 / BP</t>
  </si>
  <si>
    <t>DSS-28…32 / PDF-DS-23…27</t>
  </si>
  <si>
    <t>GAP-24</t>
  </si>
  <si>
    <t>Procedure name / Procedure date/time → Procedure / Date / time</t>
  </si>
  <si>
    <t>DSS-34, DSS-35 / PDF-DS-43, PDF-DS-44</t>
  </si>
  <si>
    <t>GAP-25</t>
  </si>
  <si>
    <t>Procedures / OT (card) → Procedure / Operation Details (section)</t>
  </si>
  <si>
    <t>DSS-34…42 / PDF-DS-43…51</t>
  </si>
  <si>
    <t>GAP-26</t>
  </si>
  <si>
    <t>Drug / M / N / E / N → Medicine / M-N-E-N</t>
  </si>
  <si>
    <t>DSS-43, DSS-46…49 / PDF-DS-54, PDF-DS-57</t>
  </si>
  <si>
    <t>GAP-27</t>
  </si>
  <si>
    <t>Review instructions → Review</t>
  </si>
  <si>
    <t>DSS-57 / PDF-DS-65</t>
  </si>
  <si>
    <t>GAP-28</t>
  </si>
  <si>
    <t>Emergency instructions → Emergency Review (SOS)</t>
  </si>
  <si>
    <t>DSS-58 / PDF-DS-66</t>
  </si>
  <si>
    <t>GAP-29</t>
  </si>
  <si>
    <t>Discharge Advice (card: Diet … Condition at discharge) → Split across Condition at Discharge, Plan of Management, Review and Emergency Review</t>
  </si>
  <si>
    <t>DSS-53…59</t>
  </si>
  <si>
    <t>frontend/web/src/features/ipd/admissions/components/ProgressNotesPanel.tsx:81</t>
  </si>
  <si>
    <t>GAP-30</t>
  </si>
  <si>
    <t>Consultant approved by → Doctor's Signature (name under the line)</t>
  </si>
  <si>
    <t>DSS-63 / PDF-DS-68</t>
  </si>
  <si>
    <t>GAP-31</t>
  </si>
  <si>
    <t>Finalized at → Finalized on</t>
  </si>
  <si>
    <t>DSS-65 / PDF-DS-71</t>
  </si>
  <si>
    <t>GAP-32</t>
  </si>
  <si>
    <t>Admission number / Admission date / Discharge date → Adm No / DOA / DOD</t>
  </si>
  <si>
    <t>DSS-06, DSS-08, DSS-10 / PDF-DS-14…16</t>
  </si>
  <si>
    <t>GAP-33</t>
  </si>
  <si>
    <t>Age / Gender → Age/Sex ("{age} Yrs / …")</t>
  </si>
  <si>
    <t>DSS-03 / PDF-DS-11</t>
  </si>
  <si>
    <t>GAP-34</t>
  </si>
  <si>
    <t>Charge type label ("Bed Charge") → Raw values "InpatientCharge — BedCharge: …"</t>
  </si>
  <si>
    <t>BIL-01 / PDF-INV-11</t>
  </si>
  <si>
    <t>backend/src/Modules/IPD/HMS.Modules.IPD/Application/IPDBillingService.cs:87</t>
  </si>
  <si>
    <t>GAP-35</t>
  </si>
  <si>
    <t>Clinical condition (form) → Condition (on-screen list)</t>
  </si>
  <si>
    <t>CLN-02 (screen only)</t>
  </si>
  <si>
    <t>GAP-36</t>
  </si>
  <si>
    <t>General condition (form) → Condition (on-screen list)</t>
  </si>
  <si>
    <t>NUR-02 (screen only)</t>
  </si>
  <si>
    <t>GAP-37</t>
  </si>
  <si>
    <t>Observation / inconsistency</t>
  </si>
  <si>
    <t>Stale code comment on IP No</t>
  </si>
  <si>
    <t>exportDischargeSummaryPdf.ts says an admission doesn't record the visit's IP number. Since ADR-104, Admission.visitId and ipNumber exist.</t>
  </si>
  <si>
    <t>frontend/web/src/features/dischargeSummary/exportDischargeSummaryPdf.ts:354</t>
  </si>
  <si>
    <t>Update the comment when the IP No is added to the PDF.</t>
  </si>
  <si>
    <t>GAP-38</t>
  </si>
  <si>
    <t>Final Bill line text uses enum names</t>
  </si>
  <si>
    <t>Invoice lines read "InpatientCharge — BedCharge: Bed charge - 2026-10-01 (Highest room tariff)" rather than readable labels.</t>
  </si>
  <si>
    <t>backend/src/Modules/IPD/HMS.Modules.IPD/Application/IPDBillingService.cs:87; backend/src/Modules/IPD/HMS.Modules.IPD/Application/AdmissionService.cs:506</t>
  </si>
  <si>
    <t>Map ChargeType to labels such as "Bed Charge" on the invoice.</t>
  </si>
  <si>
    <t>GAP-39</t>
  </si>
  <si>
    <t>No other IP printouts</t>
  </si>
  <si>
    <t>No admission slip, face sheet, case sheet, consent form, advance receipt, transfer slip, MAR or nursing chart printout exists: features/ipd and pages/ipd contain no jsPDF, window.print or print-target code.</t>
  </si>
  <si>
    <t>frontend/web/src/features/ipd/admissions/components/DownloadDischargeSummaryButton.tsx:5</t>
  </si>
  <si>
    <t>Agree the list of IP printouts the hospital needs.</t>
  </si>
  <si>
    <t>GAP-40</t>
  </si>
  <si>
    <t>Ward/Bed on the summary is the current bed</t>
  </si>
  <si>
    <t>The patient box prints the admission's current ward/bed, which after discharge is the last bed, not the admitting one.</t>
  </si>
  <si>
    <t>None, or label it "Ward/Bed at discharge".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</si>
</sst>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sz val="9"/>
      <name val="Arial"/>
    </font>
    <font>
      <b/>
      <sz val="9"/>
      <name val="Arial"/>
    </font>
    <font>
      <b/>
      <sz val="16"/>
      <color rgb="FF1F4E78"/>
      <name val="Arial"/>
    </font>
    <font>
      <i/>
      <sz val="9"/>
      <name val="Arial"/>
    </font>
    <font>
      <b/>
      <sz val="12"/>
      <color rgb="FF1F4E78"/>
      <name val="Arial"/>
    </font>
    <font>
      <b/>
      <sz val="9"/>
      <name val="Arial"/>
      <family val="2"/>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EDEDED"/>
      </patternFill>
    </fill>
    <fill>
      <patternFill patternType="solid">
        <fgColor rgb="FFFFEB9C"/>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4" fillId="0" borderId="0" xfId="0" applyFont="1" applyAlignment="1">
      <alignment vertical="top"/>
    </xf>
    <xf numFmtId="0" fontId="6" fillId="0" borderId="0" xfId="0" applyFont="1" applyAlignment="1">
      <alignment vertical="top"/>
    </xf>
    <xf numFmtId="0" fontId="3" fillId="0" borderId="0" xfId="0" applyFont="1" applyAlignment="1">
      <alignment vertical="top"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2" fillId="7" borderId="1" xfId="0" applyFont="1" applyFill="1" applyBorder="1" applyAlignment="1">
      <alignment vertical="top" wrapText="1"/>
    </xf>
    <xf numFmtId="0" fontId="2" fillId="3" borderId="1" xfId="0" applyFont="1" applyFill="1" applyBorder="1" applyAlignment="1">
      <alignment vertical="top" wrapText="1"/>
    </xf>
    <xf numFmtId="0" fontId="2" fillId="6"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2" borderId="1" xfId="0" applyFont="1" applyFill="1" applyBorder="1" applyAlignment="1">
      <alignment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2" fillId="0" borderId="0" xfId="0" applyFont="1" applyAlignment="1">
      <alignment vertical="top" wrapText="1"/>
    </xf>
    <xf numFmtId="0" fontId="0" fillId="0" borderId="0" xfId="0"/>
    <xf numFmtId="0" fontId="5" fillId="0" borderId="0" xfId="0" applyFont="1" applyAlignment="1">
      <alignment vertical="top" wrapText="1"/>
    </xf>
    <xf numFmtId="0" fontId="7"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showGridLines="0" workbookViewId="0">
      <pane ySplit="2" topLeftCell="A3" activePane="bottomLeft" state="frozen"/>
      <selection pane="bottomLeft" activeCell="G14" sqref="G14"/>
    </sheetView>
  </sheetViews>
  <sheetFormatPr defaultRowHeight="15" x14ac:dyDescent="0.25"/>
  <cols>
    <col min="1" max="1" width="5" customWidth="1"/>
    <col min="2" max="2" width="30" customWidth="1"/>
    <col min="3" max="3" width="40" customWidth="1"/>
    <col min="4" max="4" width="44" customWidth="1"/>
    <col min="5" max="5" width="46" customWidth="1"/>
    <col min="6" max="6" width="32" customWidth="1"/>
    <col min="7" max="7" width="16" customWidth="1"/>
    <col min="8" max="8" width="40" customWidth="1"/>
  </cols>
  <sheetData>
    <row r="1" spans="1:8" ht="20.25" x14ac:dyDescent="0.25">
      <c r="A1" s="1" t="s">
        <v>0</v>
      </c>
    </row>
    <row r="2" spans="1:8" ht="27.95" customHeight="1" x14ac:dyDescent="0.25">
      <c r="A2" s="19" t="s">
        <v>1</v>
      </c>
      <c r="B2" s="18"/>
      <c r="C2" s="18"/>
      <c r="D2" s="18"/>
      <c r="E2" s="18"/>
      <c r="F2" s="18"/>
    </row>
    <row r="4" spans="1:8" ht="15.75" x14ac:dyDescent="0.25">
      <c r="A4" s="2" t="s">
        <v>2</v>
      </c>
    </row>
    <row r="5" spans="1:8" ht="26.1" customHeight="1" x14ac:dyDescent="0.25">
      <c r="B5" s="3" t="s">
        <v>3</v>
      </c>
      <c r="C5" s="17" t="s">
        <v>4</v>
      </c>
      <c r="D5" s="18"/>
      <c r="E5" s="18"/>
      <c r="F5" s="18"/>
    </row>
    <row r="6" spans="1:8" ht="26.1" customHeight="1" x14ac:dyDescent="0.25">
      <c r="B6" s="3" t="s">
        <v>5</v>
      </c>
      <c r="C6" s="17" t="s">
        <v>6</v>
      </c>
      <c r="D6" s="18"/>
      <c r="E6" s="18"/>
      <c r="F6" s="18"/>
    </row>
    <row r="7" spans="1:8" ht="26.1" customHeight="1" x14ac:dyDescent="0.25">
      <c r="B7" s="3" t="s">
        <v>7</v>
      </c>
      <c r="C7" s="17" t="s">
        <v>8</v>
      </c>
      <c r="D7" s="18"/>
      <c r="E7" s="18"/>
      <c r="F7" s="18"/>
    </row>
    <row r="8" spans="1:8" ht="26.1" customHeight="1" x14ac:dyDescent="0.25">
      <c r="B8" s="3" t="s">
        <v>9</v>
      </c>
      <c r="C8" s="17" t="s">
        <v>10</v>
      </c>
      <c r="D8" s="18"/>
      <c r="E8" s="18"/>
      <c r="F8" s="18"/>
    </row>
    <row r="9" spans="1:8" ht="26.1" customHeight="1" x14ac:dyDescent="0.25">
      <c r="B9" s="3" t="s">
        <v>11</v>
      </c>
      <c r="C9" s="17" t="s">
        <v>12</v>
      </c>
      <c r="D9" s="18"/>
      <c r="E9" s="18"/>
      <c r="F9" s="18"/>
    </row>
    <row r="10" spans="1:8" ht="26.1" customHeight="1" x14ac:dyDescent="0.25">
      <c r="B10" s="3" t="s">
        <v>13</v>
      </c>
      <c r="C10" s="17" t="s">
        <v>14</v>
      </c>
      <c r="D10" s="18"/>
      <c r="E10" s="18"/>
      <c r="F10" s="18"/>
    </row>
    <row r="12" spans="1:8" ht="15.75" x14ac:dyDescent="0.25">
      <c r="A12" s="2" t="s">
        <v>15</v>
      </c>
    </row>
    <row r="13" spans="1:8" x14ac:dyDescent="0.25">
      <c r="A13" s="4" t="s">
        <v>16</v>
      </c>
      <c r="B13" s="4" t="s">
        <v>17</v>
      </c>
      <c r="C13" s="4" t="s">
        <v>18</v>
      </c>
      <c r="D13" s="4" t="s">
        <v>19</v>
      </c>
      <c r="E13" s="4" t="s">
        <v>20</v>
      </c>
      <c r="F13" s="4" t="s">
        <v>21</v>
      </c>
      <c r="G13" s="4" t="s">
        <v>22</v>
      </c>
      <c r="H13" s="4" t="s">
        <v>23</v>
      </c>
    </row>
    <row r="14" spans="1:8" ht="24" x14ac:dyDescent="0.25">
      <c r="A14" s="5">
        <v>1</v>
      </c>
      <c r="B14" s="5" t="s">
        <v>24</v>
      </c>
      <c r="C14" s="5" t="s">
        <v>25</v>
      </c>
      <c r="D14" s="5" t="s">
        <v>26</v>
      </c>
      <c r="E14" s="5" t="s">
        <v>27</v>
      </c>
      <c r="F14" s="5" t="s">
        <v>28</v>
      </c>
      <c r="G14" s="5">
        <f>COUNTIF('UI Fields'!$B:$B,B14&amp;"*")</f>
        <v>9</v>
      </c>
      <c r="H14" s="5" t="s">
        <v>29</v>
      </c>
    </row>
    <row r="15" spans="1:8" ht="24" x14ac:dyDescent="0.25">
      <c r="A15" s="5">
        <v>2</v>
      </c>
      <c r="B15" s="5" t="s">
        <v>30</v>
      </c>
      <c r="C15" s="5" t="s">
        <v>31</v>
      </c>
      <c r="D15" s="5" t="s">
        <v>32</v>
      </c>
      <c r="E15" s="5" t="s">
        <v>33</v>
      </c>
      <c r="F15" s="5" t="s">
        <v>34</v>
      </c>
      <c r="G15" s="5">
        <f>COUNTIF('UI Fields'!$B:$B,B15&amp;"*")</f>
        <v>22</v>
      </c>
      <c r="H15" s="5" t="s">
        <v>35</v>
      </c>
    </row>
    <row r="16" spans="1:8" x14ac:dyDescent="0.25">
      <c r="A16" s="5">
        <v>3</v>
      </c>
      <c r="B16" s="5" t="s">
        <v>36</v>
      </c>
      <c r="C16" s="5" t="s">
        <v>37</v>
      </c>
      <c r="D16" s="5" t="s">
        <v>38</v>
      </c>
      <c r="E16" s="5" t="s">
        <v>39</v>
      </c>
      <c r="F16" s="5" t="s">
        <v>40</v>
      </c>
      <c r="G16" s="5">
        <f>COUNTIF('UI Fields'!$B:$B,B16&amp;"*")</f>
        <v>8</v>
      </c>
      <c r="H16" s="5" t="s">
        <v>29</v>
      </c>
    </row>
    <row r="17" spans="1:8" ht="24" x14ac:dyDescent="0.25">
      <c r="A17" s="5">
        <v>4</v>
      </c>
      <c r="B17" s="5" t="s">
        <v>41</v>
      </c>
      <c r="C17" s="5" t="s">
        <v>42</v>
      </c>
      <c r="D17" s="5" t="s">
        <v>43</v>
      </c>
      <c r="E17" s="5" t="s">
        <v>44</v>
      </c>
      <c r="F17" s="5" t="s">
        <v>45</v>
      </c>
      <c r="G17" s="5">
        <f>COUNTIF('UI Fields'!$B:$B,B17&amp;"*")</f>
        <v>8</v>
      </c>
      <c r="H17" s="5" t="s">
        <v>29</v>
      </c>
    </row>
    <row r="18" spans="1:8" ht="36" x14ac:dyDescent="0.25">
      <c r="A18" s="5">
        <v>5</v>
      </c>
      <c r="B18" s="5" t="s">
        <v>46</v>
      </c>
      <c r="C18" s="5" t="s">
        <v>47</v>
      </c>
      <c r="D18" s="5" t="s">
        <v>48</v>
      </c>
      <c r="E18" s="5" t="s">
        <v>49</v>
      </c>
      <c r="F18" s="5" t="s">
        <v>45</v>
      </c>
      <c r="G18" s="5">
        <f>COUNTIF('UI Fields'!$B:$B,B18&amp;"*")</f>
        <v>15</v>
      </c>
      <c r="H18" s="5" t="s">
        <v>29</v>
      </c>
    </row>
    <row r="19" spans="1:8" ht="24" x14ac:dyDescent="0.25">
      <c r="A19" s="5">
        <v>6</v>
      </c>
      <c r="B19" s="5" t="s">
        <v>50</v>
      </c>
      <c r="C19" s="5" t="s">
        <v>51</v>
      </c>
      <c r="D19" s="5" t="s">
        <v>52</v>
      </c>
      <c r="E19" s="5" t="s">
        <v>53</v>
      </c>
      <c r="F19" s="5" t="s">
        <v>40</v>
      </c>
      <c r="G19" s="5">
        <f>COUNTIF('UI Fields'!$B:$B,B19&amp;"*")</f>
        <v>9</v>
      </c>
      <c r="H19" s="5" t="s">
        <v>29</v>
      </c>
    </row>
    <row r="20" spans="1:8" x14ac:dyDescent="0.25">
      <c r="A20" s="5">
        <v>7</v>
      </c>
      <c r="B20" s="5" t="s">
        <v>54</v>
      </c>
      <c r="C20" s="5" t="s">
        <v>54</v>
      </c>
      <c r="D20" s="5" t="s">
        <v>55</v>
      </c>
      <c r="E20" s="5" t="s">
        <v>56</v>
      </c>
      <c r="F20" s="5" t="s">
        <v>40</v>
      </c>
      <c r="G20" s="5">
        <f>COUNTIF('UI Fields'!$B:$B,B20&amp;"*")</f>
        <v>12</v>
      </c>
      <c r="H20" s="5" t="s">
        <v>29</v>
      </c>
    </row>
    <row r="21" spans="1:8" ht="24" x14ac:dyDescent="0.25">
      <c r="A21" s="5">
        <v>8</v>
      </c>
      <c r="B21" s="5" t="s">
        <v>57</v>
      </c>
      <c r="C21" s="5" t="s">
        <v>58</v>
      </c>
      <c r="D21" s="5" t="s">
        <v>59</v>
      </c>
      <c r="E21" s="5" t="s">
        <v>60</v>
      </c>
      <c r="F21" s="5" t="s">
        <v>40</v>
      </c>
      <c r="G21" s="5">
        <f>COUNTIF('UI Fields'!$B:$B,B21&amp;"*")</f>
        <v>16</v>
      </c>
      <c r="H21" s="5" t="s">
        <v>29</v>
      </c>
    </row>
    <row r="22" spans="1:8" ht="24" x14ac:dyDescent="0.25">
      <c r="A22" s="5">
        <v>9</v>
      </c>
      <c r="B22" s="5" t="s">
        <v>61</v>
      </c>
      <c r="C22" s="5" t="s">
        <v>62</v>
      </c>
      <c r="D22" s="5" t="s">
        <v>63</v>
      </c>
      <c r="E22" s="5" t="s">
        <v>64</v>
      </c>
      <c r="F22" s="5" t="s">
        <v>65</v>
      </c>
      <c r="G22" s="5">
        <f>COUNTIF('UI Fields'!$B:$B,B22&amp;"*")</f>
        <v>17</v>
      </c>
      <c r="H22" s="5" t="s">
        <v>66</v>
      </c>
    </row>
    <row r="23" spans="1:8" ht="48" x14ac:dyDescent="0.25">
      <c r="A23" s="5">
        <v>10</v>
      </c>
      <c r="B23" s="5" t="s">
        <v>67</v>
      </c>
      <c r="C23" s="5" t="s">
        <v>68</v>
      </c>
      <c r="D23" s="5" t="s">
        <v>69</v>
      </c>
      <c r="E23" s="5" t="s">
        <v>70</v>
      </c>
      <c r="F23" s="5" t="s">
        <v>71</v>
      </c>
      <c r="G23" s="5">
        <f>COUNTIF('UI Fields'!$B:$B,B23&amp;"*")</f>
        <v>75</v>
      </c>
      <c r="H23" s="5" t="s">
        <v>72</v>
      </c>
    </row>
    <row r="24" spans="1:8" x14ac:dyDescent="0.25">
      <c r="A24" s="6"/>
      <c r="B24" s="6" t="s">
        <v>73</v>
      </c>
      <c r="C24" s="6"/>
      <c r="D24" s="6"/>
      <c r="E24" s="6"/>
      <c r="F24" s="6"/>
      <c r="G24" s="6">
        <f>SUM(G14:G23)</f>
        <v>191</v>
      </c>
      <c r="H24" s="6"/>
    </row>
    <row r="26" spans="1:8" ht="15.75" x14ac:dyDescent="0.25">
      <c r="A26" s="2" t="s">
        <v>74</v>
      </c>
    </row>
    <row r="27" spans="1:8" x14ac:dyDescent="0.25">
      <c r="A27" s="4" t="s">
        <v>16</v>
      </c>
      <c r="B27" s="4" t="s">
        <v>75</v>
      </c>
      <c r="C27" s="4" t="s">
        <v>76</v>
      </c>
      <c r="D27" s="4" t="s">
        <v>77</v>
      </c>
      <c r="E27" s="4" t="s">
        <v>78</v>
      </c>
      <c r="F27" s="4" t="s">
        <v>79</v>
      </c>
      <c r="G27" s="4" t="s">
        <v>80</v>
      </c>
      <c r="H27" s="4" t="s">
        <v>81</v>
      </c>
    </row>
    <row r="28" spans="1:8" ht="72" x14ac:dyDescent="0.25">
      <c r="A28" s="5">
        <v>1</v>
      </c>
      <c r="B28" s="5" t="s">
        <v>82</v>
      </c>
      <c r="C28" s="5" t="s">
        <v>83</v>
      </c>
      <c r="D28" s="5" t="s">
        <v>84</v>
      </c>
      <c r="E28" s="5" t="s">
        <v>85</v>
      </c>
      <c r="F28" s="5" t="s">
        <v>86</v>
      </c>
      <c r="G28" s="5">
        <f>COUNTIF('PDF Fields'!$B:$B,B28)</f>
        <v>77</v>
      </c>
      <c r="H28" s="5" t="s">
        <v>87</v>
      </c>
    </row>
    <row r="29" spans="1:8" ht="72" x14ac:dyDescent="0.25">
      <c r="A29" s="5">
        <v>2</v>
      </c>
      <c r="B29" s="5" t="s">
        <v>88</v>
      </c>
      <c r="C29" s="5" t="s">
        <v>89</v>
      </c>
      <c r="D29" s="5" t="s">
        <v>90</v>
      </c>
      <c r="E29" s="5" t="s">
        <v>91</v>
      </c>
      <c r="F29" s="5" t="s">
        <v>92</v>
      </c>
      <c r="G29" s="5">
        <f>COUNTIF('PDF Fields'!$B:$B,B29)</f>
        <v>17</v>
      </c>
      <c r="H29" s="5" t="s">
        <v>93</v>
      </c>
    </row>
    <row r="30" spans="1:8" ht="48" x14ac:dyDescent="0.25">
      <c r="A30" s="5">
        <v>3</v>
      </c>
      <c r="B30" s="5" t="s">
        <v>94</v>
      </c>
      <c r="C30" s="5" t="s">
        <v>95</v>
      </c>
      <c r="D30" s="5" t="s">
        <v>96</v>
      </c>
      <c r="E30" s="5" t="s">
        <v>97</v>
      </c>
      <c r="F30" s="5" t="s">
        <v>92</v>
      </c>
      <c r="G30" s="5">
        <f>COUNTIF('PDF Fields'!$B:$B,B30)</f>
        <v>20</v>
      </c>
      <c r="H30" s="5" t="s">
        <v>98</v>
      </c>
    </row>
    <row r="31" spans="1:8" ht="36" x14ac:dyDescent="0.25">
      <c r="A31" s="5">
        <v>4</v>
      </c>
      <c r="B31" s="5" t="s">
        <v>99</v>
      </c>
      <c r="C31" s="5" t="s">
        <v>100</v>
      </c>
      <c r="D31" s="5" t="s">
        <v>101</v>
      </c>
      <c r="E31" s="5" t="s">
        <v>102</v>
      </c>
      <c r="F31" s="5" t="s">
        <v>103</v>
      </c>
      <c r="G31" s="5">
        <f>COUNTIF('PDF Fields'!$B:$B,B31)</f>
        <v>6</v>
      </c>
      <c r="H31" s="5" t="s">
        <v>104</v>
      </c>
    </row>
    <row r="32" spans="1:8" ht="36" x14ac:dyDescent="0.25">
      <c r="A32" s="6"/>
      <c r="B32" s="6" t="s">
        <v>105</v>
      </c>
      <c r="C32" s="6" t="s">
        <v>106</v>
      </c>
      <c r="D32" s="6" t="s">
        <v>106</v>
      </c>
      <c r="E32" s="6" t="s">
        <v>107</v>
      </c>
      <c r="F32" s="6" t="s">
        <v>106</v>
      </c>
      <c r="G32" s="6"/>
      <c r="H32" s="6" t="s">
        <v>108</v>
      </c>
    </row>
    <row r="34" spans="1:6" ht="15.75" x14ac:dyDescent="0.25">
      <c r="A34" s="2" t="s">
        <v>109</v>
      </c>
    </row>
    <row r="35" spans="1:6" x14ac:dyDescent="0.25">
      <c r="A35" s="4"/>
      <c r="B35" s="4" t="s">
        <v>110</v>
      </c>
      <c r="C35" s="4" t="s">
        <v>111</v>
      </c>
      <c r="D35" s="4" t="s">
        <v>112</v>
      </c>
    </row>
    <row r="36" spans="1:6" x14ac:dyDescent="0.25">
      <c r="A36" s="5"/>
      <c r="B36" s="5" t="s">
        <v>113</v>
      </c>
      <c r="C36" s="5">
        <f>COUNTA('UI Fields'!$A:$A)-1</f>
        <v>191</v>
      </c>
      <c r="D36" s="5" t="s">
        <v>114</v>
      </c>
    </row>
    <row r="37" spans="1:6" x14ac:dyDescent="0.25">
      <c r="A37" s="7"/>
      <c r="B37" s="7" t="s">
        <v>115</v>
      </c>
      <c r="C37" s="7">
        <f>COUNTIF('UI→PDF Mapping'!$F:$F,B37)</f>
        <v>80</v>
      </c>
      <c r="D37" s="7" t="s">
        <v>116</v>
      </c>
    </row>
    <row r="38" spans="1:6" ht="24" x14ac:dyDescent="0.25">
      <c r="A38" s="6"/>
      <c r="B38" s="6" t="s">
        <v>117</v>
      </c>
      <c r="C38" s="6">
        <f>COUNTIF('UI→PDF Mapping'!$F:$F,B38)</f>
        <v>15</v>
      </c>
      <c r="D38" s="6" t="s">
        <v>118</v>
      </c>
    </row>
    <row r="39" spans="1:6" x14ac:dyDescent="0.25">
      <c r="A39" s="8"/>
      <c r="B39" s="8" t="s">
        <v>119</v>
      </c>
      <c r="C39" s="8">
        <f>COUNTIF('UI→PDF Mapping'!$F:$F,B39)</f>
        <v>27</v>
      </c>
      <c r="D39" s="8" t="s">
        <v>120</v>
      </c>
    </row>
    <row r="40" spans="1:6" x14ac:dyDescent="0.25">
      <c r="A40" s="9"/>
      <c r="B40" s="9" t="s">
        <v>121</v>
      </c>
      <c r="C40" s="9">
        <f>COUNTIF('UI→PDF Mapping'!$F:$F,B40)</f>
        <v>55</v>
      </c>
      <c r="D40" s="9" t="s">
        <v>122</v>
      </c>
    </row>
    <row r="41" spans="1:6" x14ac:dyDescent="0.25">
      <c r="A41" s="10"/>
      <c r="B41" s="10" t="s">
        <v>123</v>
      </c>
      <c r="C41" s="10">
        <f>COUNTIF('UI→PDF Mapping'!$F:$F,B41)</f>
        <v>14</v>
      </c>
      <c r="D41" s="10" t="s">
        <v>124</v>
      </c>
    </row>
    <row r="42" spans="1:6" x14ac:dyDescent="0.25">
      <c r="A42" s="5"/>
      <c r="B42" s="5" t="s">
        <v>125</v>
      </c>
      <c r="C42" s="5">
        <f>COUNTA('PDF Fields'!$A:$A)-1</f>
        <v>120</v>
      </c>
      <c r="D42" s="5" t="s">
        <v>126</v>
      </c>
    </row>
    <row r="43" spans="1:6" ht="24" x14ac:dyDescent="0.25">
      <c r="A43" s="5"/>
      <c r="B43" s="5" t="s">
        <v>127</v>
      </c>
      <c r="C43" s="5">
        <f>COUNTIF('PDF Fields'!$H:$H,"—")</f>
        <v>42</v>
      </c>
      <c r="D43" s="5" t="s">
        <v>128</v>
      </c>
    </row>
    <row r="44" spans="1:6" x14ac:dyDescent="0.25">
      <c r="A44" s="5"/>
      <c r="B44" s="5" t="s">
        <v>129</v>
      </c>
      <c r="C44" s="5">
        <f>COUNTA(Gaps!$A:$A)-1</f>
        <v>40</v>
      </c>
      <c r="D44" s="5" t="s">
        <v>130</v>
      </c>
    </row>
    <row r="45" spans="1:6" x14ac:dyDescent="0.25">
      <c r="A45" s="5"/>
      <c r="B45" s="5" t="s">
        <v>131</v>
      </c>
      <c r="C45" s="5">
        <f>COUNTIF(Gaps!$H:$H,"High")</f>
        <v>3</v>
      </c>
      <c r="D45" s="5" t="s">
        <v>132</v>
      </c>
    </row>
    <row r="47" spans="1:6" ht="15.75" x14ac:dyDescent="0.25">
      <c r="A47" s="2" t="s">
        <v>133</v>
      </c>
    </row>
    <row r="48" spans="1:6" ht="38.1" customHeight="1" x14ac:dyDescent="0.25">
      <c r="B48" s="3" t="s">
        <v>134</v>
      </c>
      <c r="C48" s="17" t="s">
        <v>135</v>
      </c>
      <c r="D48" s="18"/>
      <c r="E48" s="18"/>
      <c r="F48" s="18"/>
    </row>
    <row r="49" spans="2:6" ht="38.1" customHeight="1" x14ac:dyDescent="0.25">
      <c r="B49" s="3" t="s">
        <v>136</v>
      </c>
      <c r="C49" s="17" t="s">
        <v>137</v>
      </c>
      <c r="D49" s="18"/>
      <c r="E49" s="18"/>
      <c r="F49" s="18"/>
    </row>
    <row r="50" spans="2:6" ht="38.1" customHeight="1" x14ac:dyDescent="0.25">
      <c r="B50" s="3" t="s">
        <v>138</v>
      </c>
      <c r="C50" s="17" t="s">
        <v>139</v>
      </c>
      <c r="D50" s="18"/>
      <c r="E50" s="18"/>
      <c r="F50" s="18"/>
    </row>
    <row r="51" spans="2:6" ht="38.1" customHeight="1" x14ac:dyDescent="0.25">
      <c r="B51" s="3" t="s">
        <v>140</v>
      </c>
      <c r="C51" s="17" t="s">
        <v>141</v>
      </c>
      <c r="D51" s="18"/>
      <c r="E51" s="18"/>
      <c r="F51" s="18"/>
    </row>
    <row r="52" spans="2:6" ht="38.1" customHeight="1" x14ac:dyDescent="0.25">
      <c r="B52" s="3" t="s">
        <v>142</v>
      </c>
      <c r="C52" s="17" t="s">
        <v>143</v>
      </c>
      <c r="D52" s="18"/>
      <c r="E52" s="18"/>
      <c r="F52" s="18"/>
    </row>
    <row r="53" spans="2:6" ht="38.1" customHeight="1" x14ac:dyDescent="0.25">
      <c r="B53" s="3" t="s">
        <v>144</v>
      </c>
      <c r="C53" s="17" t="s">
        <v>145</v>
      </c>
      <c r="D53" s="18"/>
      <c r="E53" s="18"/>
      <c r="F53" s="18"/>
    </row>
    <row r="54" spans="2:6" ht="38.1" customHeight="1" x14ac:dyDescent="0.25">
      <c r="B54" s="3" t="s">
        <v>146</v>
      </c>
      <c r="C54" s="17" t="s">
        <v>147</v>
      </c>
      <c r="D54" s="18"/>
      <c r="E54" s="18"/>
      <c r="F54" s="18"/>
    </row>
  </sheetData>
  <mergeCells count="14">
    <mergeCell ref="A2:F2"/>
    <mergeCell ref="C9:F9"/>
    <mergeCell ref="C52:F52"/>
    <mergeCell ref="C48:F48"/>
    <mergeCell ref="C53:F53"/>
    <mergeCell ref="C8:F8"/>
    <mergeCell ref="C49:F49"/>
    <mergeCell ref="C6:F6"/>
    <mergeCell ref="C7:F7"/>
    <mergeCell ref="C54:F54"/>
    <mergeCell ref="C51:F51"/>
    <mergeCell ref="C10:F10"/>
    <mergeCell ref="C5:F5"/>
    <mergeCell ref="C50:F50"/>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92"/>
  <sheetViews>
    <sheetView zoomScale="90" workbookViewId="0">
      <pane xSplit="4" ySplit="1" topLeftCell="E2" activePane="bottomRight" state="frozen"/>
      <selection pane="topRight"/>
      <selection pane="bottomLeft"/>
      <selection pane="bottomRight"/>
    </sheetView>
  </sheetViews>
  <sheetFormatPr defaultRowHeight="15" x14ac:dyDescent="0.25"/>
  <cols>
    <col min="1" max="1" width="9" customWidth="1"/>
    <col min="2" max="2" width="16" customWidth="1"/>
    <col min="3" max="3" width="22" customWidth="1"/>
    <col min="4" max="4" width="26" customWidth="1"/>
    <col min="5" max="5" width="24" customWidth="1"/>
    <col min="6" max="6" width="16" customWidth="1"/>
    <col min="7" max="7" width="10" customWidth="1"/>
    <col min="8" max="8" width="12" customWidth="1"/>
    <col min="9" max="12" width="34" customWidth="1"/>
    <col min="13" max="13" width="20" customWidth="1"/>
    <col min="14" max="14" width="26" customWidth="1"/>
    <col min="15" max="15" width="48" customWidth="1"/>
    <col min="16" max="16" width="44" customWidth="1"/>
    <col min="17" max="17" width="52" customWidth="1"/>
    <col min="18" max="18" width="40" customWidth="1"/>
  </cols>
  <sheetData>
    <row r="1" spans="1:18" ht="30" customHeight="1" x14ac:dyDescent="0.25">
      <c r="A1" s="11" t="s">
        <v>148</v>
      </c>
      <c r="B1" s="11" t="s">
        <v>17</v>
      </c>
      <c r="C1" s="11" t="s">
        <v>149</v>
      </c>
      <c r="D1" s="11" t="s">
        <v>150</v>
      </c>
      <c r="E1" s="11" t="s">
        <v>151</v>
      </c>
      <c r="F1" s="11" t="s">
        <v>152</v>
      </c>
      <c r="G1" s="11" t="s">
        <v>153</v>
      </c>
      <c r="H1" s="11" t="s">
        <v>154</v>
      </c>
      <c r="I1" s="11" t="s">
        <v>155</v>
      </c>
      <c r="J1" s="11" t="s">
        <v>156</v>
      </c>
      <c r="K1" s="11" t="s">
        <v>157</v>
      </c>
      <c r="L1" s="11" t="s">
        <v>158</v>
      </c>
      <c r="M1" s="11" t="s">
        <v>21</v>
      </c>
      <c r="N1" s="11" t="s">
        <v>159</v>
      </c>
      <c r="O1" s="11" t="s">
        <v>160</v>
      </c>
      <c r="P1" s="11" t="s">
        <v>161</v>
      </c>
      <c r="Q1" s="11" t="s">
        <v>162</v>
      </c>
      <c r="R1" s="11" t="s">
        <v>81</v>
      </c>
    </row>
    <row r="2" spans="1:18" ht="60" x14ac:dyDescent="0.25">
      <c r="A2" s="5" t="s">
        <v>163</v>
      </c>
      <c r="B2" s="5" t="s">
        <v>24</v>
      </c>
      <c r="C2" s="5" t="s">
        <v>164</v>
      </c>
      <c r="D2" s="5" t="s">
        <v>165</v>
      </c>
      <c r="E2" s="5" t="s">
        <v>166</v>
      </c>
      <c r="F2" s="5" t="s">
        <v>167</v>
      </c>
      <c r="G2" s="5" t="s">
        <v>106</v>
      </c>
      <c r="H2" s="5" t="s">
        <v>168</v>
      </c>
      <c r="I2" s="5"/>
      <c r="J2" s="5" t="s">
        <v>169</v>
      </c>
      <c r="K2" s="5" t="s">
        <v>170</v>
      </c>
      <c r="L2" s="5" t="s">
        <v>171</v>
      </c>
      <c r="M2" s="5" t="s">
        <v>172</v>
      </c>
      <c r="N2" s="5" t="s">
        <v>173</v>
      </c>
      <c r="O2" s="5" t="s">
        <v>174</v>
      </c>
      <c r="P2" s="5" t="s">
        <v>175</v>
      </c>
      <c r="Q2" s="5" t="s">
        <v>176</v>
      </c>
      <c r="R2" s="5"/>
    </row>
    <row r="3" spans="1:18" ht="24" x14ac:dyDescent="0.25">
      <c r="A3" s="5" t="s">
        <v>177</v>
      </c>
      <c r="B3" s="5" t="s">
        <v>24</v>
      </c>
      <c r="C3" s="5" t="s">
        <v>164</v>
      </c>
      <c r="D3" s="5" t="s">
        <v>178</v>
      </c>
      <c r="E3" s="5" t="s">
        <v>179</v>
      </c>
      <c r="F3" s="5" t="s">
        <v>180</v>
      </c>
      <c r="G3" s="5" t="s">
        <v>106</v>
      </c>
      <c r="H3" s="5" t="s">
        <v>168</v>
      </c>
      <c r="I3" s="5" t="s">
        <v>181</v>
      </c>
      <c r="J3" s="5" t="s">
        <v>182</v>
      </c>
      <c r="K3" s="5" t="s">
        <v>183</v>
      </c>
      <c r="L3" s="5" t="s">
        <v>171</v>
      </c>
      <c r="M3" s="5" t="s">
        <v>172</v>
      </c>
      <c r="N3" s="5" t="s">
        <v>106</v>
      </c>
      <c r="O3" s="5" t="s">
        <v>184</v>
      </c>
      <c r="P3" s="5" t="s">
        <v>185</v>
      </c>
      <c r="Q3" s="5" t="s">
        <v>186</v>
      </c>
      <c r="R3" s="5"/>
    </row>
    <row r="4" spans="1:18" ht="24" x14ac:dyDescent="0.25">
      <c r="A4" s="5" t="s">
        <v>187</v>
      </c>
      <c r="B4" s="5" t="s">
        <v>24</v>
      </c>
      <c r="C4" s="5" t="s">
        <v>164</v>
      </c>
      <c r="D4" s="5" t="s">
        <v>188</v>
      </c>
      <c r="E4" s="5" t="s">
        <v>189</v>
      </c>
      <c r="F4" s="5" t="s">
        <v>190</v>
      </c>
      <c r="G4" s="5" t="s">
        <v>106</v>
      </c>
      <c r="H4" s="5" t="s">
        <v>168</v>
      </c>
      <c r="I4" s="5" t="s">
        <v>191</v>
      </c>
      <c r="J4" s="5" t="s">
        <v>192</v>
      </c>
      <c r="K4" s="5" t="s">
        <v>193</v>
      </c>
      <c r="L4" s="5" t="s">
        <v>171</v>
      </c>
      <c r="M4" s="5" t="s">
        <v>172</v>
      </c>
      <c r="N4" s="5" t="s">
        <v>82</v>
      </c>
      <c r="O4" s="5" t="s">
        <v>194</v>
      </c>
      <c r="P4" s="5" t="s">
        <v>195</v>
      </c>
      <c r="Q4" s="5" t="s">
        <v>196</v>
      </c>
      <c r="R4" s="5"/>
    </row>
    <row r="5" spans="1:18" ht="60" x14ac:dyDescent="0.25">
      <c r="A5" s="5" t="s">
        <v>197</v>
      </c>
      <c r="B5" s="5" t="s">
        <v>24</v>
      </c>
      <c r="C5" s="5" t="s">
        <v>198</v>
      </c>
      <c r="D5" s="5" t="s">
        <v>199</v>
      </c>
      <c r="E5" s="5" t="s">
        <v>199</v>
      </c>
      <c r="F5" s="5" t="s">
        <v>190</v>
      </c>
      <c r="G5" s="5" t="s">
        <v>106</v>
      </c>
      <c r="H5" s="5" t="s">
        <v>168</v>
      </c>
      <c r="I5" s="5"/>
      <c r="J5" s="5" t="s">
        <v>200</v>
      </c>
      <c r="K5" s="5" t="s">
        <v>201</v>
      </c>
      <c r="L5" s="5" t="s">
        <v>171</v>
      </c>
      <c r="M5" s="5" t="s">
        <v>172</v>
      </c>
      <c r="N5" s="5" t="s">
        <v>173</v>
      </c>
      <c r="O5" s="5" t="s">
        <v>202</v>
      </c>
      <c r="P5" s="5" t="s">
        <v>203</v>
      </c>
      <c r="Q5" s="5" t="s">
        <v>204</v>
      </c>
      <c r="R5" s="5"/>
    </row>
    <row r="6" spans="1:18" ht="24" x14ac:dyDescent="0.25">
      <c r="A6" s="5" t="s">
        <v>205</v>
      </c>
      <c r="B6" s="5" t="s">
        <v>24</v>
      </c>
      <c r="C6" s="5" t="s">
        <v>198</v>
      </c>
      <c r="D6" s="5" t="s">
        <v>206</v>
      </c>
      <c r="E6" s="5" t="s">
        <v>206</v>
      </c>
      <c r="F6" s="5" t="s">
        <v>190</v>
      </c>
      <c r="G6" s="5" t="s">
        <v>106</v>
      </c>
      <c r="H6" s="5" t="s">
        <v>168</v>
      </c>
      <c r="I6" s="5" t="s">
        <v>207</v>
      </c>
      <c r="J6" s="5" t="s">
        <v>208</v>
      </c>
      <c r="K6" s="5" t="s">
        <v>209</v>
      </c>
      <c r="L6" s="5" t="s">
        <v>171</v>
      </c>
      <c r="M6" s="5" t="s">
        <v>172</v>
      </c>
      <c r="N6" s="5" t="s">
        <v>82</v>
      </c>
      <c r="O6" s="5" t="s">
        <v>210</v>
      </c>
      <c r="P6" s="5" t="s">
        <v>211</v>
      </c>
      <c r="Q6" s="5" t="s">
        <v>212</v>
      </c>
      <c r="R6" s="5"/>
    </row>
    <row r="7" spans="1:18" ht="36" x14ac:dyDescent="0.25">
      <c r="A7" s="5" t="s">
        <v>213</v>
      </c>
      <c r="B7" s="5" t="s">
        <v>24</v>
      </c>
      <c r="C7" s="5" t="s">
        <v>198</v>
      </c>
      <c r="D7" s="5" t="s">
        <v>214</v>
      </c>
      <c r="E7" s="5" t="s">
        <v>214</v>
      </c>
      <c r="F7" s="5" t="s">
        <v>190</v>
      </c>
      <c r="G7" s="5" t="s">
        <v>106</v>
      </c>
      <c r="H7" s="5" t="s">
        <v>168</v>
      </c>
      <c r="I7" s="5" t="s">
        <v>215</v>
      </c>
      <c r="J7" s="5" t="s">
        <v>216</v>
      </c>
      <c r="K7" s="5" t="s">
        <v>217</v>
      </c>
      <c r="L7" s="5" t="s">
        <v>171</v>
      </c>
      <c r="M7" s="5" t="s">
        <v>172</v>
      </c>
      <c r="N7" s="5" t="s">
        <v>218</v>
      </c>
      <c r="O7" s="5" t="s">
        <v>219</v>
      </c>
      <c r="P7" s="5" t="s">
        <v>220</v>
      </c>
      <c r="Q7" s="5" t="s">
        <v>221</v>
      </c>
      <c r="R7" s="5"/>
    </row>
    <row r="8" spans="1:18" ht="24" x14ac:dyDescent="0.25">
      <c r="A8" s="5" t="s">
        <v>222</v>
      </c>
      <c r="B8" s="5" t="s">
        <v>24</v>
      </c>
      <c r="C8" s="5" t="s">
        <v>198</v>
      </c>
      <c r="D8" s="5" t="s">
        <v>223</v>
      </c>
      <c r="E8" s="5" t="s">
        <v>223</v>
      </c>
      <c r="F8" s="5" t="s">
        <v>190</v>
      </c>
      <c r="G8" s="5" t="s">
        <v>106</v>
      </c>
      <c r="H8" s="5" t="s">
        <v>168</v>
      </c>
      <c r="I8" s="5" t="s">
        <v>224</v>
      </c>
      <c r="J8" s="5" t="s">
        <v>225</v>
      </c>
      <c r="K8" s="5" t="s">
        <v>226</v>
      </c>
      <c r="L8" s="5" t="s">
        <v>171</v>
      </c>
      <c r="M8" s="5" t="s">
        <v>172</v>
      </c>
      <c r="N8" s="5" t="s">
        <v>82</v>
      </c>
      <c r="O8" s="5" t="s">
        <v>227</v>
      </c>
      <c r="P8" s="5" t="s">
        <v>228</v>
      </c>
      <c r="Q8" s="5" t="s">
        <v>229</v>
      </c>
      <c r="R8" s="5"/>
    </row>
    <row r="9" spans="1:18" ht="36" x14ac:dyDescent="0.25">
      <c r="A9" s="5" t="s">
        <v>230</v>
      </c>
      <c r="B9" s="5" t="s">
        <v>24</v>
      </c>
      <c r="C9" s="5" t="s">
        <v>198</v>
      </c>
      <c r="D9" s="5" t="s">
        <v>231</v>
      </c>
      <c r="E9" s="5" t="s">
        <v>232</v>
      </c>
      <c r="F9" s="5" t="s">
        <v>233</v>
      </c>
      <c r="G9" s="5" t="s">
        <v>106</v>
      </c>
      <c r="H9" s="5" t="s">
        <v>168</v>
      </c>
      <c r="I9" s="5" t="s">
        <v>234</v>
      </c>
      <c r="J9" s="5" t="s">
        <v>235</v>
      </c>
      <c r="K9" s="5" t="s">
        <v>236</v>
      </c>
      <c r="L9" s="5" t="s">
        <v>171</v>
      </c>
      <c r="M9" s="5" t="s">
        <v>172</v>
      </c>
      <c r="N9" s="5" t="s">
        <v>106</v>
      </c>
      <c r="O9" s="5" t="s">
        <v>237</v>
      </c>
      <c r="P9" s="5" t="s">
        <v>238</v>
      </c>
      <c r="Q9" s="5" t="s">
        <v>239</v>
      </c>
      <c r="R9" s="5"/>
    </row>
    <row r="10" spans="1:18" ht="36" x14ac:dyDescent="0.25">
      <c r="A10" s="5" t="s">
        <v>240</v>
      </c>
      <c r="B10" s="5" t="s">
        <v>24</v>
      </c>
      <c r="C10" s="5" t="s">
        <v>198</v>
      </c>
      <c r="D10" s="5" t="s">
        <v>241</v>
      </c>
      <c r="E10" s="5" t="s">
        <v>242</v>
      </c>
      <c r="F10" s="5" t="s">
        <v>243</v>
      </c>
      <c r="G10" s="5" t="s">
        <v>106</v>
      </c>
      <c r="H10" s="5" t="s">
        <v>106</v>
      </c>
      <c r="I10" s="5" t="s">
        <v>244</v>
      </c>
      <c r="J10" s="5" t="s">
        <v>106</v>
      </c>
      <c r="K10" s="5" t="s">
        <v>106</v>
      </c>
      <c r="L10" s="5" t="s">
        <v>245</v>
      </c>
      <c r="M10" s="5" t="s">
        <v>246</v>
      </c>
      <c r="N10" s="5" t="s">
        <v>106</v>
      </c>
      <c r="O10" s="5" t="s">
        <v>247</v>
      </c>
      <c r="P10" s="5" t="s">
        <v>106</v>
      </c>
      <c r="Q10" s="5" t="s">
        <v>106</v>
      </c>
      <c r="R10" s="5"/>
    </row>
    <row r="11" spans="1:18" ht="24" x14ac:dyDescent="0.25">
      <c r="A11" s="5" t="s">
        <v>248</v>
      </c>
      <c r="B11" s="5" t="s">
        <v>30</v>
      </c>
      <c r="C11" s="5" t="s">
        <v>249</v>
      </c>
      <c r="D11" s="5" t="s">
        <v>250</v>
      </c>
      <c r="E11" s="5" t="s">
        <v>250</v>
      </c>
      <c r="F11" s="5" t="s">
        <v>190</v>
      </c>
      <c r="G11" s="5" t="s">
        <v>106</v>
      </c>
      <c r="H11" s="5" t="s">
        <v>168</v>
      </c>
      <c r="I11" s="5" t="s">
        <v>251</v>
      </c>
      <c r="J11" s="5" t="s">
        <v>252</v>
      </c>
      <c r="K11" s="5" t="s">
        <v>253</v>
      </c>
      <c r="L11" s="5" t="s">
        <v>171</v>
      </c>
      <c r="M11" s="5" t="s">
        <v>172</v>
      </c>
      <c r="N11" s="5" t="s">
        <v>254</v>
      </c>
      <c r="O11" s="5" t="s">
        <v>255</v>
      </c>
      <c r="P11" s="5" t="s">
        <v>256</v>
      </c>
      <c r="Q11" s="5" t="s">
        <v>257</v>
      </c>
      <c r="R11" s="5"/>
    </row>
    <row r="12" spans="1:18" ht="24" x14ac:dyDescent="0.25">
      <c r="A12" s="5" t="s">
        <v>258</v>
      </c>
      <c r="B12" s="5" t="s">
        <v>30</v>
      </c>
      <c r="C12" s="5" t="s">
        <v>249</v>
      </c>
      <c r="D12" s="5" t="s">
        <v>259</v>
      </c>
      <c r="E12" s="5" t="s">
        <v>259</v>
      </c>
      <c r="F12" s="5" t="s">
        <v>190</v>
      </c>
      <c r="G12" s="5" t="s">
        <v>106</v>
      </c>
      <c r="H12" s="5" t="s">
        <v>168</v>
      </c>
      <c r="I12" s="5"/>
      <c r="J12" s="5" t="s">
        <v>260</v>
      </c>
      <c r="K12" s="5" t="s">
        <v>261</v>
      </c>
      <c r="L12" s="5" t="s">
        <v>171</v>
      </c>
      <c r="M12" s="5" t="s">
        <v>172</v>
      </c>
      <c r="N12" s="5" t="s">
        <v>82</v>
      </c>
      <c r="O12" s="5" t="s">
        <v>262</v>
      </c>
      <c r="P12" s="5" t="s">
        <v>263</v>
      </c>
      <c r="Q12" s="5" t="s">
        <v>264</v>
      </c>
      <c r="R12" s="5"/>
    </row>
    <row r="13" spans="1:18" ht="24" x14ac:dyDescent="0.25">
      <c r="A13" s="5" t="s">
        <v>265</v>
      </c>
      <c r="B13" s="5" t="s">
        <v>30</v>
      </c>
      <c r="C13" s="5" t="s">
        <v>249</v>
      </c>
      <c r="D13" s="5" t="s">
        <v>266</v>
      </c>
      <c r="E13" s="5" t="s">
        <v>266</v>
      </c>
      <c r="F13" s="5" t="s">
        <v>190</v>
      </c>
      <c r="G13" s="5" t="s">
        <v>106</v>
      </c>
      <c r="H13" s="5" t="s">
        <v>168</v>
      </c>
      <c r="I13" s="5" t="s">
        <v>267</v>
      </c>
      <c r="J13" s="5" t="s">
        <v>268</v>
      </c>
      <c r="K13" s="5" t="s">
        <v>269</v>
      </c>
      <c r="L13" s="5" t="s">
        <v>171</v>
      </c>
      <c r="M13" s="5" t="s">
        <v>172</v>
      </c>
      <c r="N13" s="5" t="s">
        <v>254</v>
      </c>
      <c r="O13" s="5" t="s">
        <v>270</v>
      </c>
      <c r="P13" s="5" t="s">
        <v>271</v>
      </c>
      <c r="Q13" s="5" t="s">
        <v>272</v>
      </c>
      <c r="R13" s="5"/>
    </row>
    <row r="14" spans="1:18" ht="24" x14ac:dyDescent="0.25">
      <c r="A14" s="5" t="s">
        <v>273</v>
      </c>
      <c r="B14" s="5" t="s">
        <v>30</v>
      </c>
      <c r="C14" s="5" t="s">
        <v>249</v>
      </c>
      <c r="D14" s="5" t="s">
        <v>274</v>
      </c>
      <c r="E14" s="5" t="s">
        <v>275</v>
      </c>
      <c r="F14" s="5" t="s">
        <v>190</v>
      </c>
      <c r="G14" s="5" t="s">
        <v>106</v>
      </c>
      <c r="H14" s="5" t="s">
        <v>168</v>
      </c>
      <c r="I14" s="5"/>
      <c r="J14" s="5" t="s">
        <v>276</v>
      </c>
      <c r="K14" s="5" t="s">
        <v>277</v>
      </c>
      <c r="L14" s="5" t="s">
        <v>171</v>
      </c>
      <c r="M14" s="5" t="s">
        <v>172</v>
      </c>
      <c r="N14" s="5" t="s">
        <v>82</v>
      </c>
      <c r="O14" s="5" t="s">
        <v>278</v>
      </c>
      <c r="P14" s="5" t="s">
        <v>279</v>
      </c>
      <c r="Q14" s="5" t="s">
        <v>280</v>
      </c>
      <c r="R14" s="5"/>
    </row>
    <row r="15" spans="1:18" ht="24" x14ac:dyDescent="0.25">
      <c r="A15" s="5" t="s">
        <v>281</v>
      </c>
      <c r="B15" s="5" t="s">
        <v>30</v>
      </c>
      <c r="C15" s="5" t="s">
        <v>249</v>
      </c>
      <c r="D15" s="5" t="s">
        <v>282</v>
      </c>
      <c r="E15" s="5" t="s">
        <v>275</v>
      </c>
      <c r="F15" s="5" t="s">
        <v>190</v>
      </c>
      <c r="G15" s="5" t="s">
        <v>106</v>
      </c>
      <c r="H15" s="5" t="s">
        <v>168</v>
      </c>
      <c r="I15" s="5" t="s">
        <v>283</v>
      </c>
      <c r="J15" s="5" t="s">
        <v>284</v>
      </c>
      <c r="K15" s="5" t="s">
        <v>285</v>
      </c>
      <c r="L15" s="5" t="s">
        <v>171</v>
      </c>
      <c r="M15" s="5" t="s">
        <v>172</v>
      </c>
      <c r="N15" s="5" t="s">
        <v>254</v>
      </c>
      <c r="O15" s="5" t="s">
        <v>286</v>
      </c>
      <c r="P15" s="5" t="s">
        <v>287</v>
      </c>
      <c r="Q15" s="5" t="s">
        <v>288</v>
      </c>
      <c r="R15" s="5"/>
    </row>
    <row r="16" spans="1:18" ht="24" x14ac:dyDescent="0.25">
      <c r="A16" s="5" t="s">
        <v>289</v>
      </c>
      <c r="B16" s="5" t="s">
        <v>30</v>
      </c>
      <c r="C16" s="5" t="s">
        <v>249</v>
      </c>
      <c r="D16" s="5" t="s">
        <v>290</v>
      </c>
      <c r="E16" s="5" t="s">
        <v>275</v>
      </c>
      <c r="F16" s="5" t="s">
        <v>190</v>
      </c>
      <c r="G16" s="5" t="s">
        <v>106</v>
      </c>
      <c r="H16" s="5" t="s">
        <v>168</v>
      </c>
      <c r="I16" s="5"/>
      <c r="J16" s="5" t="s">
        <v>291</v>
      </c>
      <c r="K16" s="5" t="s">
        <v>292</v>
      </c>
      <c r="L16" s="5" t="s">
        <v>171</v>
      </c>
      <c r="M16" s="5" t="s">
        <v>172</v>
      </c>
      <c r="N16" s="5" t="s">
        <v>82</v>
      </c>
      <c r="O16" s="5" t="s">
        <v>293</v>
      </c>
      <c r="P16" s="5" t="s">
        <v>294</v>
      </c>
      <c r="Q16" s="5" t="s">
        <v>295</v>
      </c>
      <c r="R16" s="5"/>
    </row>
    <row r="17" spans="1:18" ht="24" x14ac:dyDescent="0.25">
      <c r="A17" s="5" t="s">
        <v>296</v>
      </c>
      <c r="B17" s="5" t="s">
        <v>30</v>
      </c>
      <c r="C17" s="5" t="s">
        <v>249</v>
      </c>
      <c r="D17" s="5" t="s">
        <v>297</v>
      </c>
      <c r="E17" s="5" t="s">
        <v>275</v>
      </c>
      <c r="F17" s="5" t="s">
        <v>190</v>
      </c>
      <c r="G17" s="5" t="s">
        <v>106</v>
      </c>
      <c r="H17" s="5" t="s">
        <v>168</v>
      </c>
      <c r="I17" s="5"/>
      <c r="J17" s="5" t="s">
        <v>298</v>
      </c>
      <c r="K17" s="5" t="s">
        <v>299</v>
      </c>
      <c r="L17" s="5" t="s">
        <v>171</v>
      </c>
      <c r="M17" s="5" t="s">
        <v>172</v>
      </c>
      <c r="N17" s="5" t="s">
        <v>254</v>
      </c>
      <c r="O17" s="5" t="s">
        <v>300</v>
      </c>
      <c r="P17" s="5" t="s">
        <v>301</v>
      </c>
      <c r="Q17" s="5" t="s">
        <v>302</v>
      </c>
      <c r="R17" s="5"/>
    </row>
    <row r="18" spans="1:18" ht="24" x14ac:dyDescent="0.25">
      <c r="A18" s="5" t="s">
        <v>303</v>
      </c>
      <c r="B18" s="5" t="s">
        <v>30</v>
      </c>
      <c r="C18" s="5" t="s">
        <v>249</v>
      </c>
      <c r="D18" s="5" t="s">
        <v>304</v>
      </c>
      <c r="E18" s="5" t="s">
        <v>275</v>
      </c>
      <c r="F18" s="5" t="s">
        <v>190</v>
      </c>
      <c r="G18" s="5" t="s">
        <v>106</v>
      </c>
      <c r="H18" s="5" t="s">
        <v>168</v>
      </c>
      <c r="I18" s="5"/>
      <c r="J18" s="5" t="s">
        <v>305</v>
      </c>
      <c r="K18" s="5" t="s">
        <v>306</v>
      </c>
      <c r="L18" s="5" t="s">
        <v>171</v>
      </c>
      <c r="M18" s="5" t="s">
        <v>172</v>
      </c>
      <c r="N18" s="5" t="s">
        <v>254</v>
      </c>
      <c r="O18" s="5" t="s">
        <v>307</v>
      </c>
      <c r="P18" s="5" t="s">
        <v>308</v>
      </c>
      <c r="Q18" s="5" t="s">
        <v>309</v>
      </c>
      <c r="R18" s="5"/>
    </row>
    <row r="19" spans="1:18" x14ac:dyDescent="0.25">
      <c r="A19" s="5" t="s">
        <v>310</v>
      </c>
      <c r="B19" s="5" t="s">
        <v>30</v>
      </c>
      <c r="C19" s="5" t="s">
        <v>249</v>
      </c>
      <c r="D19" s="5" t="s">
        <v>311</v>
      </c>
      <c r="E19" s="5" t="s">
        <v>312</v>
      </c>
      <c r="F19" s="5" t="s">
        <v>243</v>
      </c>
      <c r="G19" s="5" t="s">
        <v>106</v>
      </c>
      <c r="H19" s="5" t="s">
        <v>106</v>
      </c>
      <c r="I19" s="5" t="s">
        <v>313</v>
      </c>
      <c r="J19" s="5" t="s">
        <v>106</v>
      </c>
      <c r="K19" s="5" t="s">
        <v>106</v>
      </c>
      <c r="L19" s="5" t="s">
        <v>171</v>
      </c>
      <c r="M19" s="5" t="s">
        <v>172</v>
      </c>
      <c r="N19" s="5" t="s">
        <v>106</v>
      </c>
      <c r="O19" s="5" t="s">
        <v>314</v>
      </c>
      <c r="P19" s="5" t="s">
        <v>106</v>
      </c>
      <c r="Q19" s="5" t="s">
        <v>106</v>
      </c>
      <c r="R19" s="5"/>
    </row>
    <row r="20" spans="1:18" ht="24" x14ac:dyDescent="0.25">
      <c r="A20" s="5" t="s">
        <v>315</v>
      </c>
      <c r="B20" s="5" t="s">
        <v>30</v>
      </c>
      <c r="C20" s="5" t="s">
        <v>316</v>
      </c>
      <c r="D20" s="5" t="s">
        <v>317</v>
      </c>
      <c r="E20" s="5" t="s">
        <v>318</v>
      </c>
      <c r="F20" s="5" t="s">
        <v>190</v>
      </c>
      <c r="G20" s="5" t="s">
        <v>106</v>
      </c>
      <c r="H20" s="5" t="s">
        <v>168</v>
      </c>
      <c r="I20" s="5"/>
      <c r="J20" s="5" t="s">
        <v>225</v>
      </c>
      <c r="K20" s="5" t="s">
        <v>226</v>
      </c>
      <c r="L20" s="5" t="s">
        <v>319</v>
      </c>
      <c r="M20" s="5" t="s">
        <v>320</v>
      </c>
      <c r="N20" s="5" t="s">
        <v>106</v>
      </c>
      <c r="O20" s="5" t="s">
        <v>321</v>
      </c>
      <c r="P20" s="5" t="s">
        <v>228</v>
      </c>
      <c r="Q20" s="5" t="s">
        <v>229</v>
      </c>
      <c r="R20" s="5"/>
    </row>
    <row r="21" spans="1:18" ht="24" x14ac:dyDescent="0.25">
      <c r="A21" s="5" t="s">
        <v>322</v>
      </c>
      <c r="B21" s="5" t="s">
        <v>30</v>
      </c>
      <c r="C21" s="5" t="s">
        <v>316</v>
      </c>
      <c r="D21" s="5" t="s">
        <v>323</v>
      </c>
      <c r="E21" s="5" t="s">
        <v>106</v>
      </c>
      <c r="F21" s="5" t="s">
        <v>324</v>
      </c>
      <c r="G21" s="5" t="s">
        <v>168</v>
      </c>
      <c r="H21" s="5" t="s">
        <v>325</v>
      </c>
      <c r="I21" s="5" t="s">
        <v>326</v>
      </c>
      <c r="J21" s="5" t="s">
        <v>327</v>
      </c>
      <c r="K21" s="5" t="s">
        <v>328</v>
      </c>
      <c r="L21" s="5" t="s">
        <v>319</v>
      </c>
      <c r="M21" s="5" t="s">
        <v>320</v>
      </c>
      <c r="N21" s="5" t="s">
        <v>82</v>
      </c>
      <c r="O21" s="5" t="s">
        <v>329</v>
      </c>
      <c r="P21" s="5" t="s">
        <v>330</v>
      </c>
      <c r="Q21" s="5" t="s">
        <v>331</v>
      </c>
      <c r="R21" s="5"/>
    </row>
    <row r="22" spans="1:18" ht="24" x14ac:dyDescent="0.25">
      <c r="A22" s="5" t="s">
        <v>332</v>
      </c>
      <c r="B22" s="5" t="s">
        <v>30</v>
      </c>
      <c r="C22" s="5" t="s">
        <v>316</v>
      </c>
      <c r="D22" s="5" t="s">
        <v>333</v>
      </c>
      <c r="E22" s="5" t="s">
        <v>106</v>
      </c>
      <c r="F22" s="5" t="s">
        <v>324</v>
      </c>
      <c r="G22" s="5" t="s">
        <v>168</v>
      </c>
      <c r="H22" s="5" t="s">
        <v>325</v>
      </c>
      <c r="I22" s="5" t="s">
        <v>334</v>
      </c>
      <c r="J22" s="5" t="s">
        <v>335</v>
      </c>
      <c r="K22" s="5" t="s">
        <v>336</v>
      </c>
      <c r="L22" s="5" t="s">
        <v>319</v>
      </c>
      <c r="M22" s="5" t="s">
        <v>320</v>
      </c>
      <c r="N22" s="5" t="s">
        <v>82</v>
      </c>
      <c r="O22" s="5" t="s">
        <v>337</v>
      </c>
      <c r="P22" s="5" t="s">
        <v>338</v>
      </c>
      <c r="Q22" s="5" t="s">
        <v>339</v>
      </c>
      <c r="R22" s="5"/>
    </row>
    <row r="23" spans="1:18" ht="24" x14ac:dyDescent="0.25">
      <c r="A23" s="5" t="s">
        <v>340</v>
      </c>
      <c r="B23" s="5" t="s">
        <v>30</v>
      </c>
      <c r="C23" s="5" t="s">
        <v>316</v>
      </c>
      <c r="D23" s="5" t="s">
        <v>341</v>
      </c>
      <c r="E23" s="5" t="s">
        <v>106</v>
      </c>
      <c r="F23" s="5" t="s">
        <v>342</v>
      </c>
      <c r="G23" s="5" t="s">
        <v>325</v>
      </c>
      <c r="H23" s="5" t="s">
        <v>325</v>
      </c>
      <c r="I23" s="5" t="s">
        <v>343</v>
      </c>
      <c r="J23" s="5" t="s">
        <v>344</v>
      </c>
      <c r="K23" s="5" t="s">
        <v>345</v>
      </c>
      <c r="L23" s="5" t="s">
        <v>319</v>
      </c>
      <c r="M23" s="5" t="s">
        <v>320</v>
      </c>
      <c r="N23" s="5" t="s">
        <v>106</v>
      </c>
      <c r="O23" s="5" t="s">
        <v>346</v>
      </c>
      <c r="P23" s="5" t="s">
        <v>347</v>
      </c>
      <c r="Q23" s="5" t="s">
        <v>348</v>
      </c>
      <c r="R23" s="5"/>
    </row>
    <row r="24" spans="1:18" ht="48" x14ac:dyDescent="0.25">
      <c r="A24" s="5" t="s">
        <v>349</v>
      </c>
      <c r="B24" s="5" t="s">
        <v>30</v>
      </c>
      <c r="C24" s="5" t="s">
        <v>350</v>
      </c>
      <c r="D24" s="5" t="s">
        <v>351</v>
      </c>
      <c r="E24" s="5" t="s">
        <v>352</v>
      </c>
      <c r="F24" s="5" t="s">
        <v>353</v>
      </c>
      <c r="G24" s="5" t="s">
        <v>106</v>
      </c>
      <c r="H24" s="5" t="s">
        <v>168</v>
      </c>
      <c r="I24" s="5"/>
      <c r="J24" s="5" t="s">
        <v>354</v>
      </c>
      <c r="K24" s="5" t="s">
        <v>355</v>
      </c>
      <c r="L24" s="5" t="s">
        <v>356</v>
      </c>
      <c r="M24" s="5" t="s">
        <v>172</v>
      </c>
      <c r="N24" s="5" t="s">
        <v>106</v>
      </c>
      <c r="O24" s="5" t="s">
        <v>357</v>
      </c>
      <c r="P24" s="5" t="s">
        <v>358</v>
      </c>
      <c r="Q24" s="5" t="s">
        <v>359</v>
      </c>
      <c r="R24" s="5"/>
    </row>
    <row r="25" spans="1:18" ht="48" x14ac:dyDescent="0.25">
      <c r="A25" s="5" t="s">
        <v>360</v>
      </c>
      <c r="B25" s="5" t="s">
        <v>30</v>
      </c>
      <c r="C25" s="5" t="s">
        <v>350</v>
      </c>
      <c r="D25" s="5" t="s">
        <v>361</v>
      </c>
      <c r="E25" s="5" t="s">
        <v>362</v>
      </c>
      <c r="F25" s="5" t="s">
        <v>353</v>
      </c>
      <c r="G25" s="5" t="s">
        <v>106</v>
      </c>
      <c r="H25" s="5" t="s">
        <v>168</v>
      </c>
      <c r="I25" s="5"/>
      <c r="J25" s="5" t="s">
        <v>363</v>
      </c>
      <c r="K25" s="5" t="s">
        <v>364</v>
      </c>
      <c r="L25" s="5" t="s">
        <v>356</v>
      </c>
      <c r="M25" s="5" t="s">
        <v>172</v>
      </c>
      <c r="N25" s="5" t="s">
        <v>106</v>
      </c>
      <c r="O25" s="5" t="s">
        <v>365</v>
      </c>
      <c r="P25" s="5" t="s">
        <v>366</v>
      </c>
      <c r="Q25" s="5" t="s">
        <v>367</v>
      </c>
      <c r="R25" s="5"/>
    </row>
    <row r="26" spans="1:18" ht="24" x14ac:dyDescent="0.25">
      <c r="A26" s="5" t="s">
        <v>368</v>
      </c>
      <c r="B26" s="5" t="s">
        <v>30</v>
      </c>
      <c r="C26" s="5" t="s">
        <v>350</v>
      </c>
      <c r="D26" s="5" t="s">
        <v>369</v>
      </c>
      <c r="E26" s="5" t="s">
        <v>369</v>
      </c>
      <c r="F26" s="5" t="s">
        <v>353</v>
      </c>
      <c r="G26" s="5" t="s">
        <v>106</v>
      </c>
      <c r="H26" s="5" t="s">
        <v>168</v>
      </c>
      <c r="I26" s="5"/>
      <c r="J26" s="5" t="s">
        <v>370</v>
      </c>
      <c r="K26" s="5" t="s">
        <v>371</v>
      </c>
      <c r="L26" s="5" t="s">
        <v>356</v>
      </c>
      <c r="M26" s="5" t="s">
        <v>172</v>
      </c>
      <c r="N26" s="5" t="s">
        <v>106</v>
      </c>
      <c r="O26" s="5" t="s">
        <v>372</v>
      </c>
      <c r="P26" s="5" t="s">
        <v>373</v>
      </c>
      <c r="Q26" s="5" t="s">
        <v>374</v>
      </c>
      <c r="R26" s="5"/>
    </row>
    <row r="27" spans="1:18" ht="24" x14ac:dyDescent="0.25">
      <c r="A27" s="5" t="s">
        <v>375</v>
      </c>
      <c r="B27" s="5" t="s">
        <v>30</v>
      </c>
      <c r="C27" s="5" t="s">
        <v>350</v>
      </c>
      <c r="D27" s="5" t="s">
        <v>376</v>
      </c>
      <c r="E27" s="5" t="s">
        <v>376</v>
      </c>
      <c r="F27" s="5" t="s">
        <v>353</v>
      </c>
      <c r="G27" s="5" t="s">
        <v>106</v>
      </c>
      <c r="H27" s="5" t="s">
        <v>168</v>
      </c>
      <c r="I27" s="5"/>
      <c r="J27" s="5" t="s">
        <v>377</v>
      </c>
      <c r="K27" s="5" t="s">
        <v>378</v>
      </c>
      <c r="L27" s="5" t="s">
        <v>356</v>
      </c>
      <c r="M27" s="5" t="s">
        <v>172</v>
      </c>
      <c r="N27" s="5" t="s">
        <v>106</v>
      </c>
      <c r="O27" s="5" t="s">
        <v>379</v>
      </c>
      <c r="P27" s="5" t="s">
        <v>380</v>
      </c>
      <c r="Q27" s="5" t="s">
        <v>381</v>
      </c>
      <c r="R27" s="5"/>
    </row>
    <row r="28" spans="1:18" ht="24" x14ac:dyDescent="0.25">
      <c r="A28" s="5" t="s">
        <v>382</v>
      </c>
      <c r="B28" s="5" t="s">
        <v>30</v>
      </c>
      <c r="C28" s="5" t="s">
        <v>383</v>
      </c>
      <c r="D28" s="5" t="s">
        <v>384</v>
      </c>
      <c r="E28" s="5" t="s">
        <v>384</v>
      </c>
      <c r="F28" s="5" t="s">
        <v>353</v>
      </c>
      <c r="G28" s="5" t="s">
        <v>106</v>
      </c>
      <c r="H28" s="5" t="s">
        <v>168</v>
      </c>
      <c r="I28" s="5"/>
      <c r="J28" s="5" t="s">
        <v>385</v>
      </c>
      <c r="K28" s="5" t="s">
        <v>386</v>
      </c>
      <c r="L28" s="5" t="s">
        <v>387</v>
      </c>
      <c r="M28" s="5" t="s">
        <v>172</v>
      </c>
      <c r="N28" s="5" t="s">
        <v>106</v>
      </c>
      <c r="O28" s="5" t="s">
        <v>388</v>
      </c>
      <c r="P28" s="5" t="s">
        <v>389</v>
      </c>
      <c r="Q28" s="5" t="s">
        <v>390</v>
      </c>
      <c r="R28" s="5"/>
    </row>
    <row r="29" spans="1:18" ht="24" x14ac:dyDescent="0.25">
      <c r="A29" s="5" t="s">
        <v>391</v>
      </c>
      <c r="B29" s="5" t="s">
        <v>30</v>
      </c>
      <c r="C29" s="5" t="s">
        <v>383</v>
      </c>
      <c r="D29" s="5" t="s">
        <v>392</v>
      </c>
      <c r="E29" s="5" t="s">
        <v>392</v>
      </c>
      <c r="F29" s="5" t="s">
        <v>353</v>
      </c>
      <c r="G29" s="5" t="s">
        <v>106</v>
      </c>
      <c r="H29" s="5" t="s">
        <v>168</v>
      </c>
      <c r="I29" s="5"/>
      <c r="J29" s="5" t="s">
        <v>393</v>
      </c>
      <c r="K29" s="5" t="s">
        <v>394</v>
      </c>
      <c r="L29" s="5" t="s">
        <v>387</v>
      </c>
      <c r="M29" s="5" t="s">
        <v>172</v>
      </c>
      <c r="N29" s="5" t="s">
        <v>106</v>
      </c>
      <c r="O29" s="5" t="s">
        <v>395</v>
      </c>
      <c r="P29" s="5" t="s">
        <v>396</v>
      </c>
      <c r="Q29" s="5" t="s">
        <v>397</v>
      </c>
      <c r="R29" s="5"/>
    </row>
    <row r="30" spans="1:18" ht="24" x14ac:dyDescent="0.25">
      <c r="A30" s="5" t="s">
        <v>398</v>
      </c>
      <c r="B30" s="5" t="s">
        <v>30</v>
      </c>
      <c r="C30" s="5" t="s">
        <v>383</v>
      </c>
      <c r="D30" s="5" t="s">
        <v>351</v>
      </c>
      <c r="E30" s="5" t="s">
        <v>351</v>
      </c>
      <c r="F30" s="5" t="s">
        <v>353</v>
      </c>
      <c r="G30" s="5" t="s">
        <v>106</v>
      </c>
      <c r="H30" s="5" t="s">
        <v>168</v>
      </c>
      <c r="I30" s="5"/>
      <c r="J30" s="5" t="s">
        <v>399</v>
      </c>
      <c r="K30" s="5" t="s">
        <v>400</v>
      </c>
      <c r="L30" s="5" t="s">
        <v>387</v>
      </c>
      <c r="M30" s="5" t="s">
        <v>172</v>
      </c>
      <c r="N30" s="5" t="s">
        <v>106</v>
      </c>
      <c r="O30" s="5" t="s">
        <v>401</v>
      </c>
      <c r="P30" s="5" t="s">
        <v>402</v>
      </c>
      <c r="Q30" s="5" t="s">
        <v>403</v>
      </c>
      <c r="R30" s="5"/>
    </row>
    <row r="31" spans="1:18" ht="24" x14ac:dyDescent="0.25">
      <c r="A31" s="5" t="s">
        <v>404</v>
      </c>
      <c r="B31" s="5" t="s">
        <v>30</v>
      </c>
      <c r="C31" s="5" t="s">
        <v>383</v>
      </c>
      <c r="D31" s="5" t="s">
        <v>361</v>
      </c>
      <c r="E31" s="5" t="s">
        <v>361</v>
      </c>
      <c r="F31" s="5" t="s">
        <v>353</v>
      </c>
      <c r="G31" s="5" t="s">
        <v>106</v>
      </c>
      <c r="H31" s="5" t="s">
        <v>168</v>
      </c>
      <c r="I31" s="5" t="s">
        <v>405</v>
      </c>
      <c r="J31" s="5" t="s">
        <v>406</v>
      </c>
      <c r="K31" s="5" t="s">
        <v>407</v>
      </c>
      <c r="L31" s="5" t="s">
        <v>387</v>
      </c>
      <c r="M31" s="5" t="s">
        <v>172</v>
      </c>
      <c r="N31" s="5" t="s">
        <v>106</v>
      </c>
      <c r="O31" s="5" t="s">
        <v>408</v>
      </c>
      <c r="P31" s="5" t="s">
        <v>409</v>
      </c>
      <c r="Q31" s="5" t="s">
        <v>410</v>
      </c>
      <c r="R31" s="5"/>
    </row>
    <row r="32" spans="1:18" ht="24" x14ac:dyDescent="0.25">
      <c r="A32" s="5" t="s">
        <v>411</v>
      </c>
      <c r="B32" s="5" t="s">
        <v>30</v>
      </c>
      <c r="C32" s="5" t="s">
        <v>383</v>
      </c>
      <c r="D32" s="5" t="s">
        <v>412</v>
      </c>
      <c r="E32" s="5" t="s">
        <v>413</v>
      </c>
      <c r="F32" s="5" t="s">
        <v>353</v>
      </c>
      <c r="G32" s="5" t="s">
        <v>106</v>
      </c>
      <c r="H32" s="5" t="s">
        <v>168</v>
      </c>
      <c r="I32" s="5" t="s">
        <v>414</v>
      </c>
      <c r="J32" s="5" t="s">
        <v>415</v>
      </c>
      <c r="K32" s="5" t="s">
        <v>416</v>
      </c>
      <c r="L32" s="5" t="s">
        <v>387</v>
      </c>
      <c r="M32" s="5" t="s">
        <v>172</v>
      </c>
      <c r="N32" s="5" t="s">
        <v>88</v>
      </c>
      <c r="O32" s="5" t="s">
        <v>417</v>
      </c>
      <c r="P32" s="5" t="s">
        <v>418</v>
      </c>
      <c r="Q32" s="5" t="s">
        <v>419</v>
      </c>
      <c r="R32" s="5"/>
    </row>
    <row r="33" spans="1:18" ht="36" x14ac:dyDescent="0.25">
      <c r="A33" s="5" t="s">
        <v>420</v>
      </c>
      <c r="B33" s="5" t="s">
        <v>36</v>
      </c>
      <c r="C33" s="5" t="s">
        <v>37</v>
      </c>
      <c r="D33" s="5" t="s">
        <v>421</v>
      </c>
      <c r="E33" s="5" t="s">
        <v>422</v>
      </c>
      <c r="F33" s="5" t="s">
        <v>423</v>
      </c>
      <c r="G33" s="5" t="s">
        <v>168</v>
      </c>
      <c r="H33" s="5" t="s">
        <v>325</v>
      </c>
      <c r="I33" s="5" t="s">
        <v>424</v>
      </c>
      <c r="J33" s="5" t="s">
        <v>425</v>
      </c>
      <c r="K33" s="5" t="s">
        <v>426</v>
      </c>
      <c r="L33" s="5" t="s">
        <v>427</v>
      </c>
      <c r="M33" s="5" t="s">
        <v>40</v>
      </c>
      <c r="N33" s="5" t="s">
        <v>254</v>
      </c>
      <c r="O33" s="5" t="s">
        <v>428</v>
      </c>
      <c r="P33" s="5" t="s">
        <v>429</v>
      </c>
      <c r="Q33" s="5" t="s">
        <v>430</v>
      </c>
      <c r="R33" s="5"/>
    </row>
    <row r="34" spans="1:18" ht="36" x14ac:dyDescent="0.25">
      <c r="A34" s="5" t="s">
        <v>431</v>
      </c>
      <c r="B34" s="5" t="s">
        <v>36</v>
      </c>
      <c r="C34" s="5" t="s">
        <v>37</v>
      </c>
      <c r="D34" s="5" t="s">
        <v>432</v>
      </c>
      <c r="E34" s="5" t="s">
        <v>433</v>
      </c>
      <c r="F34" s="5" t="s">
        <v>434</v>
      </c>
      <c r="G34" s="5" t="s">
        <v>325</v>
      </c>
      <c r="H34" s="5" t="s">
        <v>325</v>
      </c>
      <c r="I34" s="5" t="s">
        <v>435</v>
      </c>
      <c r="J34" s="5" t="s">
        <v>436</v>
      </c>
      <c r="K34" s="5" t="s">
        <v>437</v>
      </c>
      <c r="L34" s="5" t="s">
        <v>427</v>
      </c>
      <c r="M34" s="5" t="s">
        <v>40</v>
      </c>
      <c r="N34" s="5" t="s">
        <v>254</v>
      </c>
      <c r="O34" s="5" t="s">
        <v>438</v>
      </c>
      <c r="P34" s="5" t="s">
        <v>439</v>
      </c>
      <c r="Q34" s="5" t="s">
        <v>440</v>
      </c>
      <c r="R34" s="5"/>
    </row>
    <row r="35" spans="1:18" ht="36" x14ac:dyDescent="0.25">
      <c r="A35" s="5" t="s">
        <v>441</v>
      </c>
      <c r="B35" s="5" t="s">
        <v>36</v>
      </c>
      <c r="C35" s="5" t="s">
        <v>37</v>
      </c>
      <c r="D35" s="5" t="s">
        <v>442</v>
      </c>
      <c r="E35" s="5" t="s">
        <v>442</v>
      </c>
      <c r="F35" s="5" t="s">
        <v>434</v>
      </c>
      <c r="G35" s="5" t="s">
        <v>325</v>
      </c>
      <c r="H35" s="5" t="s">
        <v>325</v>
      </c>
      <c r="I35" s="5" t="s">
        <v>435</v>
      </c>
      <c r="J35" s="5" t="s">
        <v>443</v>
      </c>
      <c r="K35" s="5" t="s">
        <v>444</v>
      </c>
      <c r="L35" s="5" t="s">
        <v>427</v>
      </c>
      <c r="M35" s="5" t="s">
        <v>40</v>
      </c>
      <c r="N35" s="5" t="s">
        <v>254</v>
      </c>
      <c r="O35" s="5" t="s">
        <v>445</v>
      </c>
      <c r="P35" s="5" t="s">
        <v>446</v>
      </c>
      <c r="Q35" s="5" t="s">
        <v>447</v>
      </c>
      <c r="R35" s="5"/>
    </row>
    <row r="36" spans="1:18" ht="36" x14ac:dyDescent="0.25">
      <c r="A36" s="5" t="s">
        <v>448</v>
      </c>
      <c r="B36" s="5" t="s">
        <v>36</v>
      </c>
      <c r="C36" s="5" t="s">
        <v>37</v>
      </c>
      <c r="D36" s="5" t="s">
        <v>449</v>
      </c>
      <c r="E36" s="5" t="s">
        <v>449</v>
      </c>
      <c r="F36" s="5" t="s">
        <v>434</v>
      </c>
      <c r="G36" s="5" t="s">
        <v>325</v>
      </c>
      <c r="H36" s="5" t="s">
        <v>325</v>
      </c>
      <c r="I36" s="5" t="s">
        <v>435</v>
      </c>
      <c r="J36" s="5" t="s">
        <v>450</v>
      </c>
      <c r="K36" s="5" t="s">
        <v>451</v>
      </c>
      <c r="L36" s="5" t="s">
        <v>427</v>
      </c>
      <c r="M36" s="5" t="s">
        <v>40</v>
      </c>
      <c r="N36" s="5" t="s">
        <v>254</v>
      </c>
      <c r="O36" s="5" t="s">
        <v>452</v>
      </c>
      <c r="P36" s="5" t="s">
        <v>453</v>
      </c>
      <c r="Q36" s="5" t="s">
        <v>454</v>
      </c>
      <c r="R36" s="5"/>
    </row>
    <row r="37" spans="1:18" ht="36" x14ac:dyDescent="0.25">
      <c r="A37" s="5" t="s">
        <v>455</v>
      </c>
      <c r="B37" s="5" t="s">
        <v>36</v>
      </c>
      <c r="C37" s="5" t="s">
        <v>37</v>
      </c>
      <c r="D37" s="5" t="s">
        <v>456</v>
      </c>
      <c r="E37" s="5" t="s">
        <v>456</v>
      </c>
      <c r="F37" s="5" t="s">
        <v>434</v>
      </c>
      <c r="G37" s="5" t="s">
        <v>325</v>
      </c>
      <c r="H37" s="5" t="s">
        <v>325</v>
      </c>
      <c r="I37" s="5" t="s">
        <v>435</v>
      </c>
      <c r="J37" s="5" t="s">
        <v>457</v>
      </c>
      <c r="K37" s="5" t="s">
        <v>458</v>
      </c>
      <c r="L37" s="5" t="s">
        <v>427</v>
      </c>
      <c r="M37" s="5" t="s">
        <v>40</v>
      </c>
      <c r="N37" s="5" t="s">
        <v>254</v>
      </c>
      <c r="O37" s="5" t="s">
        <v>459</v>
      </c>
      <c r="P37" s="5" t="s">
        <v>460</v>
      </c>
      <c r="Q37" s="5" t="s">
        <v>461</v>
      </c>
      <c r="R37" s="5"/>
    </row>
    <row r="38" spans="1:18" ht="36" x14ac:dyDescent="0.25">
      <c r="A38" s="5" t="s">
        <v>462</v>
      </c>
      <c r="B38" s="5" t="s">
        <v>36</v>
      </c>
      <c r="C38" s="5" t="s">
        <v>37</v>
      </c>
      <c r="D38" s="5" t="s">
        <v>463</v>
      </c>
      <c r="E38" s="5" t="s">
        <v>463</v>
      </c>
      <c r="F38" s="5" t="s">
        <v>434</v>
      </c>
      <c r="G38" s="5" t="s">
        <v>325</v>
      </c>
      <c r="H38" s="5" t="s">
        <v>325</v>
      </c>
      <c r="I38" s="5" t="s">
        <v>435</v>
      </c>
      <c r="J38" s="5" t="s">
        <v>464</v>
      </c>
      <c r="K38" s="5" t="s">
        <v>465</v>
      </c>
      <c r="L38" s="5" t="s">
        <v>427</v>
      </c>
      <c r="M38" s="5" t="s">
        <v>40</v>
      </c>
      <c r="N38" s="5" t="s">
        <v>254</v>
      </c>
      <c r="O38" s="5" t="s">
        <v>466</v>
      </c>
      <c r="P38" s="5" t="s">
        <v>467</v>
      </c>
      <c r="Q38" s="5" t="s">
        <v>468</v>
      </c>
      <c r="R38" s="5"/>
    </row>
    <row r="39" spans="1:18" ht="36" x14ac:dyDescent="0.25">
      <c r="A39" s="5" t="s">
        <v>469</v>
      </c>
      <c r="B39" s="5" t="s">
        <v>36</v>
      </c>
      <c r="C39" s="5" t="s">
        <v>37</v>
      </c>
      <c r="D39" s="5" t="s">
        <v>470</v>
      </c>
      <c r="E39" s="5" t="s">
        <v>470</v>
      </c>
      <c r="F39" s="5" t="s">
        <v>434</v>
      </c>
      <c r="G39" s="5" t="s">
        <v>325</v>
      </c>
      <c r="H39" s="5" t="s">
        <v>325</v>
      </c>
      <c r="I39" s="5" t="s">
        <v>435</v>
      </c>
      <c r="J39" s="5" t="s">
        <v>471</v>
      </c>
      <c r="K39" s="5" t="s">
        <v>472</v>
      </c>
      <c r="L39" s="5" t="s">
        <v>427</v>
      </c>
      <c r="M39" s="5" t="s">
        <v>40</v>
      </c>
      <c r="N39" s="5" t="s">
        <v>254</v>
      </c>
      <c r="O39" s="5" t="s">
        <v>473</v>
      </c>
      <c r="P39" s="5" t="s">
        <v>474</v>
      </c>
      <c r="Q39" s="5" t="s">
        <v>475</v>
      </c>
      <c r="R39" s="5"/>
    </row>
    <row r="40" spans="1:18" ht="36" x14ac:dyDescent="0.25">
      <c r="A40" s="5" t="s">
        <v>476</v>
      </c>
      <c r="B40" s="5" t="s">
        <v>36</v>
      </c>
      <c r="C40" s="5" t="s">
        <v>37</v>
      </c>
      <c r="D40" s="5" t="s">
        <v>477</v>
      </c>
      <c r="E40" s="5" t="s">
        <v>478</v>
      </c>
      <c r="F40" s="5" t="s">
        <v>243</v>
      </c>
      <c r="G40" s="5" t="s">
        <v>106</v>
      </c>
      <c r="H40" s="5" t="s">
        <v>106</v>
      </c>
      <c r="I40" s="5"/>
      <c r="J40" s="5" t="s">
        <v>106</v>
      </c>
      <c r="K40" s="5" t="s">
        <v>106</v>
      </c>
      <c r="L40" s="5" t="s">
        <v>427</v>
      </c>
      <c r="M40" s="5" t="s">
        <v>40</v>
      </c>
      <c r="N40" s="5" t="s">
        <v>106</v>
      </c>
      <c r="O40" s="5" t="s">
        <v>479</v>
      </c>
      <c r="P40" s="5" t="s">
        <v>106</v>
      </c>
      <c r="Q40" s="5" t="s">
        <v>106</v>
      </c>
      <c r="R40" s="5"/>
    </row>
    <row r="41" spans="1:18" ht="36" x14ac:dyDescent="0.25">
      <c r="A41" s="5" t="s">
        <v>480</v>
      </c>
      <c r="B41" s="5" t="s">
        <v>41</v>
      </c>
      <c r="C41" s="5" t="s">
        <v>42</v>
      </c>
      <c r="D41" s="5" t="s">
        <v>481</v>
      </c>
      <c r="E41" s="5" t="s">
        <v>482</v>
      </c>
      <c r="F41" s="5" t="s">
        <v>324</v>
      </c>
      <c r="G41" s="5" t="s">
        <v>168</v>
      </c>
      <c r="H41" s="5" t="s">
        <v>325</v>
      </c>
      <c r="I41" s="5" t="s">
        <v>483</v>
      </c>
      <c r="J41" s="5" t="s">
        <v>484</v>
      </c>
      <c r="K41" s="5" t="s">
        <v>485</v>
      </c>
      <c r="L41" s="5" t="s">
        <v>486</v>
      </c>
      <c r="M41" s="5" t="s">
        <v>40</v>
      </c>
      <c r="N41" s="5" t="s">
        <v>254</v>
      </c>
      <c r="O41" s="5" t="s">
        <v>487</v>
      </c>
      <c r="P41" s="5" t="s">
        <v>488</v>
      </c>
      <c r="Q41" s="5" t="s">
        <v>489</v>
      </c>
      <c r="R41" s="5"/>
    </row>
    <row r="42" spans="1:18" ht="36" x14ac:dyDescent="0.25">
      <c r="A42" s="5" t="s">
        <v>490</v>
      </c>
      <c r="B42" s="5" t="s">
        <v>41</v>
      </c>
      <c r="C42" s="5" t="s">
        <v>42</v>
      </c>
      <c r="D42" s="5" t="s">
        <v>491</v>
      </c>
      <c r="E42" s="5" t="s">
        <v>492</v>
      </c>
      <c r="F42" s="5" t="s">
        <v>423</v>
      </c>
      <c r="G42" s="5" t="s">
        <v>168</v>
      </c>
      <c r="H42" s="5" t="s">
        <v>325</v>
      </c>
      <c r="I42" s="5" t="s">
        <v>493</v>
      </c>
      <c r="J42" s="5" t="s">
        <v>494</v>
      </c>
      <c r="K42" s="5" t="s">
        <v>495</v>
      </c>
      <c r="L42" s="5" t="s">
        <v>486</v>
      </c>
      <c r="M42" s="5" t="s">
        <v>40</v>
      </c>
      <c r="N42" s="5" t="s">
        <v>254</v>
      </c>
      <c r="O42" s="5" t="s">
        <v>496</v>
      </c>
      <c r="P42" s="5" t="s">
        <v>497</v>
      </c>
      <c r="Q42" s="5" t="s">
        <v>498</v>
      </c>
      <c r="R42" s="5"/>
    </row>
    <row r="43" spans="1:18" ht="48" x14ac:dyDescent="0.25">
      <c r="A43" s="5" t="s">
        <v>499</v>
      </c>
      <c r="B43" s="5" t="s">
        <v>41</v>
      </c>
      <c r="C43" s="5" t="s">
        <v>42</v>
      </c>
      <c r="D43" s="5" t="s">
        <v>500</v>
      </c>
      <c r="E43" s="5" t="s">
        <v>501</v>
      </c>
      <c r="F43" s="5" t="s">
        <v>502</v>
      </c>
      <c r="G43" s="5" t="s">
        <v>325</v>
      </c>
      <c r="H43" s="5" t="s">
        <v>325</v>
      </c>
      <c r="I43" s="5" t="s">
        <v>503</v>
      </c>
      <c r="J43" s="5" t="s">
        <v>504</v>
      </c>
      <c r="K43" s="5" t="s">
        <v>505</v>
      </c>
      <c r="L43" s="5" t="s">
        <v>486</v>
      </c>
      <c r="M43" s="5" t="s">
        <v>40</v>
      </c>
      <c r="N43" s="5" t="s">
        <v>88</v>
      </c>
      <c r="O43" s="5" t="s">
        <v>506</v>
      </c>
      <c r="P43" s="5" t="s">
        <v>507</v>
      </c>
      <c r="Q43" s="5" t="s">
        <v>508</v>
      </c>
      <c r="R43" s="5" t="s">
        <v>509</v>
      </c>
    </row>
    <row r="44" spans="1:18" ht="36" x14ac:dyDescent="0.25">
      <c r="A44" s="5" t="s">
        <v>510</v>
      </c>
      <c r="B44" s="5" t="s">
        <v>41</v>
      </c>
      <c r="C44" s="5" t="s">
        <v>42</v>
      </c>
      <c r="D44" s="5" t="s">
        <v>511</v>
      </c>
      <c r="E44" s="5" t="s">
        <v>511</v>
      </c>
      <c r="F44" s="5" t="s">
        <v>434</v>
      </c>
      <c r="G44" s="5" t="s">
        <v>168</v>
      </c>
      <c r="H44" s="5" t="s">
        <v>325</v>
      </c>
      <c r="I44" s="5" t="s">
        <v>512</v>
      </c>
      <c r="J44" s="5" t="s">
        <v>513</v>
      </c>
      <c r="K44" s="5" t="s">
        <v>514</v>
      </c>
      <c r="L44" s="5" t="s">
        <v>486</v>
      </c>
      <c r="M44" s="5" t="s">
        <v>40</v>
      </c>
      <c r="N44" s="5" t="s">
        <v>254</v>
      </c>
      <c r="O44" s="5" t="s">
        <v>515</v>
      </c>
      <c r="P44" s="5" t="s">
        <v>516</v>
      </c>
      <c r="Q44" s="5" t="s">
        <v>517</v>
      </c>
      <c r="R44" s="5"/>
    </row>
    <row r="45" spans="1:18" ht="36" x14ac:dyDescent="0.25">
      <c r="A45" s="5" t="s">
        <v>518</v>
      </c>
      <c r="B45" s="5" t="s">
        <v>41</v>
      </c>
      <c r="C45" s="5" t="s">
        <v>42</v>
      </c>
      <c r="D45" s="5" t="s">
        <v>519</v>
      </c>
      <c r="E45" s="5" t="s">
        <v>520</v>
      </c>
      <c r="F45" s="5" t="s">
        <v>434</v>
      </c>
      <c r="G45" s="5" t="s">
        <v>325</v>
      </c>
      <c r="H45" s="5" t="s">
        <v>325</v>
      </c>
      <c r="I45" s="5" t="s">
        <v>435</v>
      </c>
      <c r="J45" s="5" t="s">
        <v>521</v>
      </c>
      <c r="K45" s="5" t="s">
        <v>522</v>
      </c>
      <c r="L45" s="5" t="s">
        <v>486</v>
      </c>
      <c r="M45" s="5" t="s">
        <v>40</v>
      </c>
      <c r="N45" s="5" t="s">
        <v>254</v>
      </c>
      <c r="O45" s="5" t="s">
        <v>523</v>
      </c>
      <c r="P45" s="5" t="s">
        <v>524</v>
      </c>
      <c r="Q45" s="5" t="s">
        <v>525</v>
      </c>
      <c r="R45" s="5"/>
    </row>
    <row r="46" spans="1:18" ht="36" x14ac:dyDescent="0.25">
      <c r="A46" s="5" t="s">
        <v>526</v>
      </c>
      <c r="B46" s="5" t="s">
        <v>41</v>
      </c>
      <c r="C46" s="5" t="s">
        <v>42</v>
      </c>
      <c r="D46" s="5" t="s">
        <v>527</v>
      </c>
      <c r="E46" s="5" t="s">
        <v>528</v>
      </c>
      <c r="F46" s="5" t="s">
        <v>529</v>
      </c>
      <c r="G46" s="5" t="s">
        <v>106</v>
      </c>
      <c r="H46" s="5" t="s">
        <v>168</v>
      </c>
      <c r="I46" s="5" t="s">
        <v>530</v>
      </c>
      <c r="J46" s="5" t="s">
        <v>531</v>
      </c>
      <c r="K46" s="5" t="s">
        <v>532</v>
      </c>
      <c r="L46" s="5" t="s">
        <v>533</v>
      </c>
      <c r="M46" s="5" t="s">
        <v>320</v>
      </c>
      <c r="N46" s="5" t="s">
        <v>254</v>
      </c>
      <c r="O46" s="5" t="s">
        <v>534</v>
      </c>
      <c r="P46" s="5" t="s">
        <v>535</v>
      </c>
      <c r="Q46" s="5" t="s">
        <v>536</v>
      </c>
      <c r="R46" s="5"/>
    </row>
    <row r="47" spans="1:18" ht="36" x14ac:dyDescent="0.25">
      <c r="A47" s="5" t="s">
        <v>537</v>
      </c>
      <c r="B47" s="5" t="s">
        <v>41</v>
      </c>
      <c r="C47" s="5" t="s">
        <v>42</v>
      </c>
      <c r="D47" s="5" t="s">
        <v>538</v>
      </c>
      <c r="E47" s="5" t="s">
        <v>539</v>
      </c>
      <c r="F47" s="5" t="s">
        <v>243</v>
      </c>
      <c r="G47" s="5" t="s">
        <v>106</v>
      </c>
      <c r="H47" s="5" t="s">
        <v>106</v>
      </c>
      <c r="I47" s="5" t="s">
        <v>540</v>
      </c>
      <c r="J47" s="5" t="s">
        <v>541</v>
      </c>
      <c r="K47" s="5" t="s">
        <v>542</v>
      </c>
      <c r="L47" s="5" t="s">
        <v>543</v>
      </c>
      <c r="M47" s="5" t="s">
        <v>320</v>
      </c>
      <c r="N47" s="5" t="s">
        <v>106</v>
      </c>
      <c r="O47" s="5" t="s">
        <v>544</v>
      </c>
      <c r="P47" s="5" t="s">
        <v>545</v>
      </c>
      <c r="Q47" s="5" t="s">
        <v>546</v>
      </c>
      <c r="R47" s="5"/>
    </row>
    <row r="48" spans="1:18" ht="36" x14ac:dyDescent="0.25">
      <c r="A48" s="5" t="s">
        <v>547</v>
      </c>
      <c r="B48" s="5" t="s">
        <v>41</v>
      </c>
      <c r="C48" s="5" t="s">
        <v>42</v>
      </c>
      <c r="D48" s="5" t="s">
        <v>548</v>
      </c>
      <c r="E48" s="5" t="s">
        <v>478</v>
      </c>
      <c r="F48" s="5" t="s">
        <v>243</v>
      </c>
      <c r="G48" s="5" t="s">
        <v>106</v>
      </c>
      <c r="H48" s="5" t="s">
        <v>106</v>
      </c>
      <c r="I48" s="5"/>
      <c r="J48" s="5" t="s">
        <v>106</v>
      </c>
      <c r="K48" s="5" t="s">
        <v>106</v>
      </c>
      <c r="L48" s="5" t="s">
        <v>486</v>
      </c>
      <c r="M48" s="5" t="s">
        <v>40</v>
      </c>
      <c r="N48" s="5" t="s">
        <v>106</v>
      </c>
      <c r="O48" s="5" t="s">
        <v>549</v>
      </c>
      <c r="P48" s="5" t="s">
        <v>106</v>
      </c>
      <c r="Q48" s="5" t="s">
        <v>106</v>
      </c>
      <c r="R48" s="5"/>
    </row>
    <row r="49" spans="1:18" ht="36" x14ac:dyDescent="0.25">
      <c r="A49" s="5" t="s">
        <v>550</v>
      </c>
      <c r="B49" s="5" t="s">
        <v>46</v>
      </c>
      <c r="C49" s="5" t="s">
        <v>551</v>
      </c>
      <c r="D49" s="5" t="s">
        <v>552</v>
      </c>
      <c r="E49" s="5" t="s">
        <v>553</v>
      </c>
      <c r="F49" s="5" t="s">
        <v>434</v>
      </c>
      <c r="G49" s="5" t="s">
        <v>168</v>
      </c>
      <c r="H49" s="5" t="s">
        <v>325</v>
      </c>
      <c r="I49" s="5" t="s">
        <v>554</v>
      </c>
      <c r="J49" s="5" t="s">
        <v>555</v>
      </c>
      <c r="K49" s="5" t="s">
        <v>556</v>
      </c>
      <c r="L49" s="5" t="s">
        <v>557</v>
      </c>
      <c r="M49" s="5" t="s">
        <v>40</v>
      </c>
      <c r="N49" s="5" t="s">
        <v>254</v>
      </c>
      <c r="O49" s="5" t="s">
        <v>558</v>
      </c>
      <c r="P49" s="5" t="s">
        <v>559</v>
      </c>
      <c r="Q49" s="5" t="s">
        <v>560</v>
      </c>
      <c r="R49" s="5"/>
    </row>
    <row r="50" spans="1:18" ht="36" x14ac:dyDescent="0.25">
      <c r="A50" s="5" t="s">
        <v>561</v>
      </c>
      <c r="B50" s="5" t="s">
        <v>46</v>
      </c>
      <c r="C50" s="5" t="s">
        <v>551</v>
      </c>
      <c r="D50" s="5" t="s">
        <v>562</v>
      </c>
      <c r="E50" s="5" t="s">
        <v>562</v>
      </c>
      <c r="F50" s="5" t="s">
        <v>434</v>
      </c>
      <c r="G50" s="5" t="s">
        <v>168</v>
      </c>
      <c r="H50" s="5" t="s">
        <v>325</v>
      </c>
      <c r="I50" s="5" t="s">
        <v>563</v>
      </c>
      <c r="J50" s="5" t="s">
        <v>564</v>
      </c>
      <c r="K50" s="5" t="s">
        <v>565</v>
      </c>
      <c r="L50" s="5" t="s">
        <v>557</v>
      </c>
      <c r="M50" s="5" t="s">
        <v>40</v>
      </c>
      <c r="N50" s="5" t="s">
        <v>254</v>
      </c>
      <c r="O50" s="5" t="s">
        <v>566</v>
      </c>
      <c r="P50" s="5" t="s">
        <v>567</v>
      </c>
      <c r="Q50" s="5" t="s">
        <v>568</v>
      </c>
      <c r="R50" s="5"/>
    </row>
    <row r="51" spans="1:18" ht="36" x14ac:dyDescent="0.25">
      <c r="A51" s="5" t="s">
        <v>569</v>
      </c>
      <c r="B51" s="5" t="s">
        <v>46</v>
      </c>
      <c r="C51" s="5" t="s">
        <v>551</v>
      </c>
      <c r="D51" s="5" t="s">
        <v>5</v>
      </c>
      <c r="E51" s="5" t="s">
        <v>5</v>
      </c>
      <c r="F51" s="5" t="s">
        <v>434</v>
      </c>
      <c r="G51" s="5" t="s">
        <v>168</v>
      </c>
      <c r="H51" s="5" t="s">
        <v>325</v>
      </c>
      <c r="I51" s="5" t="s">
        <v>563</v>
      </c>
      <c r="J51" s="5" t="s">
        <v>570</v>
      </c>
      <c r="K51" s="5" t="s">
        <v>571</v>
      </c>
      <c r="L51" s="5" t="s">
        <v>557</v>
      </c>
      <c r="M51" s="5" t="s">
        <v>40</v>
      </c>
      <c r="N51" s="5" t="s">
        <v>254</v>
      </c>
      <c r="O51" s="5" t="s">
        <v>572</v>
      </c>
      <c r="P51" s="5" t="s">
        <v>573</v>
      </c>
      <c r="Q51" s="5" t="s">
        <v>574</v>
      </c>
      <c r="R51" s="5"/>
    </row>
    <row r="52" spans="1:18" ht="36" x14ac:dyDescent="0.25">
      <c r="A52" s="5" t="s">
        <v>575</v>
      </c>
      <c r="B52" s="5" t="s">
        <v>46</v>
      </c>
      <c r="C52" s="5" t="s">
        <v>551</v>
      </c>
      <c r="D52" s="5" t="s">
        <v>576</v>
      </c>
      <c r="E52" s="5" t="s">
        <v>576</v>
      </c>
      <c r="F52" s="5" t="s">
        <v>434</v>
      </c>
      <c r="G52" s="5" t="s">
        <v>168</v>
      </c>
      <c r="H52" s="5" t="s">
        <v>325</v>
      </c>
      <c r="I52" s="5" t="s">
        <v>577</v>
      </c>
      <c r="J52" s="5" t="s">
        <v>578</v>
      </c>
      <c r="K52" s="5" t="s">
        <v>579</v>
      </c>
      <c r="L52" s="5" t="s">
        <v>557</v>
      </c>
      <c r="M52" s="5" t="s">
        <v>40</v>
      </c>
      <c r="N52" s="5" t="s">
        <v>254</v>
      </c>
      <c r="O52" s="5" t="s">
        <v>580</v>
      </c>
      <c r="P52" s="5" t="s">
        <v>581</v>
      </c>
      <c r="Q52" s="5" t="s">
        <v>582</v>
      </c>
      <c r="R52" s="5"/>
    </row>
    <row r="53" spans="1:18" ht="36" x14ac:dyDescent="0.25">
      <c r="A53" s="5" t="s">
        <v>583</v>
      </c>
      <c r="B53" s="5" t="s">
        <v>46</v>
      </c>
      <c r="C53" s="5" t="s">
        <v>551</v>
      </c>
      <c r="D53" s="5" t="s">
        <v>491</v>
      </c>
      <c r="E53" s="5" t="s">
        <v>501</v>
      </c>
      <c r="F53" s="5" t="s">
        <v>423</v>
      </c>
      <c r="G53" s="5" t="s">
        <v>168</v>
      </c>
      <c r="H53" s="5" t="s">
        <v>325</v>
      </c>
      <c r="I53" s="5" t="s">
        <v>493</v>
      </c>
      <c r="J53" s="5" t="s">
        <v>584</v>
      </c>
      <c r="K53" s="5" t="s">
        <v>585</v>
      </c>
      <c r="L53" s="5" t="s">
        <v>557</v>
      </c>
      <c r="M53" s="5" t="s">
        <v>40</v>
      </c>
      <c r="N53" s="5" t="s">
        <v>106</v>
      </c>
      <c r="O53" s="5" t="s">
        <v>586</v>
      </c>
      <c r="P53" s="5" t="s">
        <v>587</v>
      </c>
      <c r="Q53" s="5" t="s">
        <v>588</v>
      </c>
      <c r="R53" s="5"/>
    </row>
    <row r="54" spans="1:18" ht="36" x14ac:dyDescent="0.25">
      <c r="A54" s="5" t="s">
        <v>589</v>
      </c>
      <c r="B54" s="5" t="s">
        <v>46</v>
      </c>
      <c r="C54" s="5" t="s">
        <v>551</v>
      </c>
      <c r="D54" s="5" t="s">
        <v>590</v>
      </c>
      <c r="E54" s="5" t="s">
        <v>591</v>
      </c>
      <c r="F54" s="5" t="s">
        <v>423</v>
      </c>
      <c r="G54" s="5" t="s">
        <v>168</v>
      </c>
      <c r="H54" s="5" t="s">
        <v>325</v>
      </c>
      <c r="I54" s="5" t="s">
        <v>493</v>
      </c>
      <c r="J54" s="5" t="s">
        <v>592</v>
      </c>
      <c r="K54" s="5" t="s">
        <v>593</v>
      </c>
      <c r="L54" s="5" t="s">
        <v>557</v>
      </c>
      <c r="M54" s="5" t="s">
        <v>40</v>
      </c>
      <c r="N54" s="5" t="s">
        <v>254</v>
      </c>
      <c r="O54" s="5" t="s">
        <v>594</v>
      </c>
      <c r="P54" s="5" t="s">
        <v>595</v>
      </c>
      <c r="Q54" s="5" t="s">
        <v>596</v>
      </c>
      <c r="R54" s="5"/>
    </row>
    <row r="55" spans="1:18" ht="36" x14ac:dyDescent="0.25">
      <c r="A55" s="5" t="s">
        <v>597</v>
      </c>
      <c r="B55" s="5" t="s">
        <v>46</v>
      </c>
      <c r="C55" s="5" t="s">
        <v>551</v>
      </c>
      <c r="D55" s="5" t="s">
        <v>598</v>
      </c>
      <c r="E55" s="5" t="s">
        <v>599</v>
      </c>
      <c r="F55" s="5" t="s">
        <v>423</v>
      </c>
      <c r="G55" s="5" t="s">
        <v>325</v>
      </c>
      <c r="H55" s="5" t="s">
        <v>325</v>
      </c>
      <c r="I55" s="5" t="s">
        <v>600</v>
      </c>
      <c r="J55" s="5" t="s">
        <v>601</v>
      </c>
      <c r="K55" s="5" t="s">
        <v>602</v>
      </c>
      <c r="L55" s="5" t="s">
        <v>557</v>
      </c>
      <c r="M55" s="5" t="s">
        <v>40</v>
      </c>
      <c r="N55" s="5" t="s">
        <v>254</v>
      </c>
      <c r="O55" s="5" t="s">
        <v>603</v>
      </c>
      <c r="P55" s="5" t="s">
        <v>604</v>
      </c>
      <c r="Q55" s="5" t="s">
        <v>605</v>
      </c>
      <c r="R55" s="5"/>
    </row>
    <row r="56" spans="1:18" ht="36" x14ac:dyDescent="0.25">
      <c r="A56" s="5" t="s">
        <v>606</v>
      </c>
      <c r="B56" s="5" t="s">
        <v>46</v>
      </c>
      <c r="C56" s="5" t="s">
        <v>551</v>
      </c>
      <c r="D56" s="5" t="s">
        <v>519</v>
      </c>
      <c r="E56" s="5" t="s">
        <v>501</v>
      </c>
      <c r="F56" s="5" t="s">
        <v>434</v>
      </c>
      <c r="G56" s="5" t="s">
        <v>325</v>
      </c>
      <c r="H56" s="5" t="s">
        <v>325</v>
      </c>
      <c r="I56" s="5" t="s">
        <v>435</v>
      </c>
      <c r="J56" s="5" t="s">
        <v>607</v>
      </c>
      <c r="K56" s="5" t="s">
        <v>608</v>
      </c>
      <c r="L56" s="5" t="s">
        <v>557</v>
      </c>
      <c r="M56" s="5" t="s">
        <v>40</v>
      </c>
      <c r="N56" s="5" t="s">
        <v>106</v>
      </c>
      <c r="O56" s="5" t="s">
        <v>609</v>
      </c>
      <c r="P56" s="5" t="s">
        <v>610</v>
      </c>
      <c r="Q56" s="5" t="s">
        <v>611</v>
      </c>
      <c r="R56" s="5"/>
    </row>
    <row r="57" spans="1:18" ht="36" x14ac:dyDescent="0.25">
      <c r="A57" s="5" t="s">
        <v>612</v>
      </c>
      <c r="B57" s="5" t="s">
        <v>46</v>
      </c>
      <c r="C57" s="5" t="s">
        <v>551</v>
      </c>
      <c r="D57" s="5" t="s">
        <v>527</v>
      </c>
      <c r="E57" s="5" t="s">
        <v>613</v>
      </c>
      <c r="F57" s="5" t="s">
        <v>529</v>
      </c>
      <c r="G57" s="5" t="s">
        <v>106</v>
      </c>
      <c r="H57" s="5" t="s">
        <v>168</v>
      </c>
      <c r="I57" s="5" t="s">
        <v>614</v>
      </c>
      <c r="J57" s="5" t="s">
        <v>615</v>
      </c>
      <c r="K57" s="5" t="s">
        <v>616</v>
      </c>
      <c r="L57" s="5" t="s">
        <v>617</v>
      </c>
      <c r="M57" s="5" t="s">
        <v>320</v>
      </c>
      <c r="N57" s="5" t="s">
        <v>254</v>
      </c>
      <c r="O57" s="5" t="s">
        <v>618</v>
      </c>
      <c r="P57" s="5" t="s">
        <v>619</v>
      </c>
      <c r="Q57" s="5" t="s">
        <v>620</v>
      </c>
      <c r="R57" s="5"/>
    </row>
    <row r="58" spans="1:18" ht="60" x14ac:dyDescent="0.25">
      <c r="A58" s="5" t="s">
        <v>621</v>
      </c>
      <c r="B58" s="5" t="s">
        <v>46</v>
      </c>
      <c r="C58" s="5" t="s">
        <v>622</v>
      </c>
      <c r="D58" s="5" t="s">
        <v>623</v>
      </c>
      <c r="E58" s="5" t="s">
        <v>106</v>
      </c>
      <c r="F58" s="5" t="s">
        <v>324</v>
      </c>
      <c r="G58" s="5" t="s">
        <v>168</v>
      </c>
      <c r="H58" s="5" t="s">
        <v>325</v>
      </c>
      <c r="I58" s="5" t="s">
        <v>624</v>
      </c>
      <c r="J58" s="5" t="s">
        <v>625</v>
      </c>
      <c r="K58" s="5" t="s">
        <v>626</v>
      </c>
      <c r="L58" s="5" t="s">
        <v>627</v>
      </c>
      <c r="M58" s="5" t="s">
        <v>40</v>
      </c>
      <c r="N58" s="5" t="s">
        <v>106</v>
      </c>
      <c r="O58" s="5" t="s">
        <v>628</v>
      </c>
      <c r="P58" s="5" t="s">
        <v>629</v>
      </c>
      <c r="Q58" s="5" t="s">
        <v>630</v>
      </c>
      <c r="R58" s="5"/>
    </row>
    <row r="59" spans="1:18" ht="60" x14ac:dyDescent="0.25">
      <c r="A59" s="5" t="s">
        <v>631</v>
      </c>
      <c r="B59" s="5" t="s">
        <v>46</v>
      </c>
      <c r="C59" s="5" t="s">
        <v>622</v>
      </c>
      <c r="D59" s="5" t="s">
        <v>632</v>
      </c>
      <c r="E59" s="5" t="s">
        <v>633</v>
      </c>
      <c r="F59" s="5" t="s">
        <v>423</v>
      </c>
      <c r="G59" s="5" t="s">
        <v>168</v>
      </c>
      <c r="H59" s="5" t="s">
        <v>325</v>
      </c>
      <c r="I59" s="5" t="s">
        <v>493</v>
      </c>
      <c r="J59" s="5" t="s">
        <v>634</v>
      </c>
      <c r="K59" s="5" t="s">
        <v>635</v>
      </c>
      <c r="L59" s="5" t="s">
        <v>627</v>
      </c>
      <c r="M59" s="5" t="s">
        <v>40</v>
      </c>
      <c r="N59" s="5" t="s">
        <v>106</v>
      </c>
      <c r="O59" s="5" t="s">
        <v>636</v>
      </c>
      <c r="P59" s="5" t="s">
        <v>637</v>
      </c>
      <c r="Q59" s="5" t="s">
        <v>638</v>
      </c>
      <c r="R59" s="5"/>
    </row>
    <row r="60" spans="1:18" ht="60" x14ac:dyDescent="0.25">
      <c r="A60" s="5" t="s">
        <v>639</v>
      </c>
      <c r="B60" s="5" t="s">
        <v>46</v>
      </c>
      <c r="C60" s="5" t="s">
        <v>622</v>
      </c>
      <c r="D60" s="5" t="s">
        <v>640</v>
      </c>
      <c r="E60" s="5" t="s">
        <v>641</v>
      </c>
      <c r="F60" s="5" t="s">
        <v>324</v>
      </c>
      <c r="G60" s="5" t="s">
        <v>168</v>
      </c>
      <c r="H60" s="5" t="s">
        <v>325</v>
      </c>
      <c r="I60" s="5" t="s">
        <v>642</v>
      </c>
      <c r="J60" s="5" t="s">
        <v>643</v>
      </c>
      <c r="K60" s="5" t="s">
        <v>644</v>
      </c>
      <c r="L60" s="5" t="s">
        <v>627</v>
      </c>
      <c r="M60" s="5" t="s">
        <v>40</v>
      </c>
      <c r="N60" s="5" t="s">
        <v>106</v>
      </c>
      <c r="O60" s="5" t="s">
        <v>645</v>
      </c>
      <c r="P60" s="5" t="s">
        <v>646</v>
      </c>
      <c r="Q60" s="5" t="s">
        <v>647</v>
      </c>
      <c r="R60" s="5"/>
    </row>
    <row r="61" spans="1:18" ht="60" x14ac:dyDescent="0.25">
      <c r="A61" s="5" t="s">
        <v>648</v>
      </c>
      <c r="B61" s="5" t="s">
        <v>46</v>
      </c>
      <c r="C61" s="5" t="s">
        <v>622</v>
      </c>
      <c r="D61" s="5" t="s">
        <v>649</v>
      </c>
      <c r="E61" s="5" t="s">
        <v>650</v>
      </c>
      <c r="F61" s="5" t="s">
        <v>423</v>
      </c>
      <c r="G61" s="5" t="s">
        <v>325</v>
      </c>
      <c r="H61" s="5" t="s">
        <v>325</v>
      </c>
      <c r="I61" s="5" t="s">
        <v>651</v>
      </c>
      <c r="J61" s="5" t="s">
        <v>652</v>
      </c>
      <c r="K61" s="5" t="s">
        <v>653</v>
      </c>
      <c r="L61" s="5" t="s">
        <v>627</v>
      </c>
      <c r="M61" s="5" t="s">
        <v>40</v>
      </c>
      <c r="N61" s="5" t="s">
        <v>106</v>
      </c>
      <c r="O61" s="5" t="s">
        <v>654</v>
      </c>
      <c r="P61" s="5" t="s">
        <v>655</v>
      </c>
      <c r="Q61" s="5" t="s">
        <v>656</v>
      </c>
      <c r="R61" s="5"/>
    </row>
    <row r="62" spans="1:18" ht="60" x14ac:dyDescent="0.25">
      <c r="A62" s="5" t="s">
        <v>657</v>
      </c>
      <c r="B62" s="5" t="s">
        <v>46</v>
      </c>
      <c r="C62" s="5" t="s">
        <v>622</v>
      </c>
      <c r="D62" s="5" t="s">
        <v>369</v>
      </c>
      <c r="E62" s="5" t="s">
        <v>369</v>
      </c>
      <c r="F62" s="5" t="s">
        <v>434</v>
      </c>
      <c r="G62" s="5" t="s">
        <v>325</v>
      </c>
      <c r="H62" s="5" t="s">
        <v>325</v>
      </c>
      <c r="I62" s="5" t="s">
        <v>658</v>
      </c>
      <c r="J62" s="5" t="s">
        <v>659</v>
      </c>
      <c r="K62" s="5" t="s">
        <v>660</v>
      </c>
      <c r="L62" s="5" t="s">
        <v>627</v>
      </c>
      <c r="M62" s="5" t="s">
        <v>40</v>
      </c>
      <c r="N62" s="5" t="s">
        <v>106</v>
      </c>
      <c r="O62" s="5" t="s">
        <v>661</v>
      </c>
      <c r="P62" s="5" t="s">
        <v>662</v>
      </c>
      <c r="Q62" s="5" t="s">
        <v>663</v>
      </c>
      <c r="R62" s="5"/>
    </row>
    <row r="63" spans="1:18" ht="60" x14ac:dyDescent="0.25">
      <c r="A63" s="5" t="s">
        <v>664</v>
      </c>
      <c r="B63" s="5" t="s">
        <v>46</v>
      </c>
      <c r="C63" s="5" t="s">
        <v>622</v>
      </c>
      <c r="D63" s="5" t="s">
        <v>665</v>
      </c>
      <c r="E63" s="5" t="s">
        <v>666</v>
      </c>
      <c r="F63" s="5" t="s">
        <v>434</v>
      </c>
      <c r="G63" s="5" t="s">
        <v>325</v>
      </c>
      <c r="H63" s="5" t="s">
        <v>325</v>
      </c>
      <c r="I63" s="5" t="s">
        <v>667</v>
      </c>
      <c r="J63" s="5" t="s">
        <v>668</v>
      </c>
      <c r="K63" s="5" t="s">
        <v>669</v>
      </c>
      <c r="L63" s="5" t="s">
        <v>627</v>
      </c>
      <c r="M63" s="5" t="s">
        <v>40</v>
      </c>
      <c r="N63" s="5" t="s">
        <v>106</v>
      </c>
      <c r="O63" s="5" t="s">
        <v>670</v>
      </c>
      <c r="P63" s="5" t="s">
        <v>671</v>
      </c>
      <c r="Q63" s="5" t="s">
        <v>672</v>
      </c>
      <c r="R63" s="5"/>
    </row>
    <row r="64" spans="1:18" ht="36" x14ac:dyDescent="0.25">
      <c r="A64" s="5" t="s">
        <v>673</v>
      </c>
      <c r="B64" s="5" t="s">
        <v>50</v>
      </c>
      <c r="C64" s="5" t="s">
        <v>674</v>
      </c>
      <c r="D64" s="5" t="s">
        <v>675</v>
      </c>
      <c r="E64" s="5" t="s">
        <v>106</v>
      </c>
      <c r="F64" s="5" t="s">
        <v>676</v>
      </c>
      <c r="G64" s="5" t="s">
        <v>106</v>
      </c>
      <c r="H64" s="5" t="s">
        <v>325</v>
      </c>
      <c r="I64" s="5" t="s">
        <v>677</v>
      </c>
      <c r="J64" s="5" t="s">
        <v>106</v>
      </c>
      <c r="K64" s="5" t="s">
        <v>106</v>
      </c>
      <c r="L64" s="5" t="s">
        <v>678</v>
      </c>
      <c r="M64" s="5" t="s">
        <v>679</v>
      </c>
      <c r="N64" s="5" t="s">
        <v>106</v>
      </c>
      <c r="O64" s="5" t="s">
        <v>680</v>
      </c>
      <c r="P64" s="5" t="s">
        <v>106</v>
      </c>
      <c r="Q64" s="5" t="s">
        <v>106</v>
      </c>
      <c r="R64" s="5"/>
    </row>
    <row r="65" spans="1:18" ht="36" x14ac:dyDescent="0.25">
      <c r="A65" s="5" t="s">
        <v>681</v>
      </c>
      <c r="B65" s="5" t="s">
        <v>50</v>
      </c>
      <c r="C65" s="5" t="s">
        <v>674</v>
      </c>
      <c r="D65" s="5" t="s">
        <v>682</v>
      </c>
      <c r="E65" s="5" t="s">
        <v>683</v>
      </c>
      <c r="F65" s="5" t="s">
        <v>502</v>
      </c>
      <c r="G65" s="5" t="s">
        <v>684</v>
      </c>
      <c r="H65" s="5" t="s">
        <v>325</v>
      </c>
      <c r="I65" s="5" t="s">
        <v>685</v>
      </c>
      <c r="J65" s="5" t="s">
        <v>686</v>
      </c>
      <c r="K65" s="5" t="s">
        <v>687</v>
      </c>
      <c r="L65" s="5" t="s">
        <v>678</v>
      </c>
      <c r="M65" s="5" t="s">
        <v>679</v>
      </c>
      <c r="N65" s="5" t="s">
        <v>688</v>
      </c>
      <c r="O65" s="5" t="s">
        <v>689</v>
      </c>
      <c r="P65" s="5" t="s">
        <v>690</v>
      </c>
      <c r="Q65" s="5" t="s">
        <v>691</v>
      </c>
      <c r="R65" s="5" t="s">
        <v>692</v>
      </c>
    </row>
    <row r="66" spans="1:18" ht="36" x14ac:dyDescent="0.25">
      <c r="A66" s="5" t="s">
        <v>693</v>
      </c>
      <c r="B66" s="5" t="s">
        <v>50</v>
      </c>
      <c r="C66" s="5" t="s">
        <v>674</v>
      </c>
      <c r="D66" s="5" t="s">
        <v>694</v>
      </c>
      <c r="E66" s="5" t="s">
        <v>106</v>
      </c>
      <c r="F66" s="5" t="s">
        <v>243</v>
      </c>
      <c r="G66" s="5" t="s">
        <v>106</v>
      </c>
      <c r="H66" s="5" t="s">
        <v>106</v>
      </c>
      <c r="I66" s="5"/>
      <c r="J66" s="5" t="s">
        <v>106</v>
      </c>
      <c r="K66" s="5" t="s">
        <v>106</v>
      </c>
      <c r="L66" s="5" t="s">
        <v>678</v>
      </c>
      <c r="M66" s="5" t="s">
        <v>679</v>
      </c>
      <c r="N66" s="5" t="s">
        <v>106</v>
      </c>
      <c r="O66" s="5" t="s">
        <v>695</v>
      </c>
      <c r="P66" s="5" t="s">
        <v>106</v>
      </c>
      <c r="Q66" s="5" t="s">
        <v>106</v>
      </c>
      <c r="R66" s="5"/>
    </row>
    <row r="67" spans="1:18" ht="36" x14ac:dyDescent="0.25">
      <c r="A67" s="5" t="s">
        <v>696</v>
      </c>
      <c r="B67" s="5" t="s">
        <v>50</v>
      </c>
      <c r="C67" s="5" t="s">
        <v>697</v>
      </c>
      <c r="D67" s="5" t="s">
        <v>698</v>
      </c>
      <c r="E67" s="5" t="s">
        <v>698</v>
      </c>
      <c r="F67" s="5" t="s">
        <v>353</v>
      </c>
      <c r="G67" s="5" t="s">
        <v>106</v>
      </c>
      <c r="H67" s="5" t="s">
        <v>168</v>
      </c>
      <c r="I67" s="5"/>
      <c r="J67" s="5" t="s">
        <v>699</v>
      </c>
      <c r="K67" s="5" t="s">
        <v>700</v>
      </c>
      <c r="L67" s="5" t="s">
        <v>701</v>
      </c>
      <c r="M67" s="5" t="s">
        <v>172</v>
      </c>
      <c r="N67" s="5" t="s">
        <v>94</v>
      </c>
      <c r="O67" s="5" t="s">
        <v>702</v>
      </c>
      <c r="P67" s="5" t="s">
        <v>703</v>
      </c>
      <c r="Q67" s="5" t="s">
        <v>704</v>
      </c>
      <c r="R67" s="5"/>
    </row>
    <row r="68" spans="1:18" ht="36" x14ac:dyDescent="0.25">
      <c r="A68" s="5" t="s">
        <v>705</v>
      </c>
      <c r="B68" s="5" t="s">
        <v>50</v>
      </c>
      <c r="C68" s="5" t="s">
        <v>697</v>
      </c>
      <c r="D68" s="5" t="s">
        <v>683</v>
      </c>
      <c r="E68" s="5" t="s">
        <v>706</v>
      </c>
      <c r="F68" s="5" t="s">
        <v>353</v>
      </c>
      <c r="G68" s="5" t="s">
        <v>106</v>
      </c>
      <c r="H68" s="5" t="s">
        <v>168</v>
      </c>
      <c r="I68" s="5"/>
      <c r="J68" s="5" t="s">
        <v>707</v>
      </c>
      <c r="K68" s="5" t="s">
        <v>708</v>
      </c>
      <c r="L68" s="5" t="s">
        <v>701</v>
      </c>
      <c r="M68" s="5" t="s">
        <v>172</v>
      </c>
      <c r="N68" s="5" t="s">
        <v>94</v>
      </c>
      <c r="O68" s="5" t="s">
        <v>709</v>
      </c>
      <c r="P68" s="5" t="s">
        <v>710</v>
      </c>
      <c r="Q68" s="5" t="s">
        <v>711</v>
      </c>
      <c r="R68" s="5"/>
    </row>
    <row r="69" spans="1:18" ht="36" x14ac:dyDescent="0.25">
      <c r="A69" s="5" t="s">
        <v>712</v>
      </c>
      <c r="B69" s="5" t="s">
        <v>50</v>
      </c>
      <c r="C69" s="5" t="s">
        <v>697</v>
      </c>
      <c r="D69" s="5" t="s">
        <v>713</v>
      </c>
      <c r="E69" s="5" t="s">
        <v>713</v>
      </c>
      <c r="F69" s="5" t="s">
        <v>353</v>
      </c>
      <c r="G69" s="5" t="s">
        <v>106</v>
      </c>
      <c r="H69" s="5" t="s">
        <v>168</v>
      </c>
      <c r="I69" s="5" t="s">
        <v>714</v>
      </c>
      <c r="J69" s="5" t="s">
        <v>715</v>
      </c>
      <c r="K69" s="5" t="s">
        <v>716</v>
      </c>
      <c r="L69" s="5" t="s">
        <v>701</v>
      </c>
      <c r="M69" s="5" t="s">
        <v>172</v>
      </c>
      <c r="N69" s="5" t="s">
        <v>106</v>
      </c>
      <c r="O69" s="5" t="s">
        <v>717</v>
      </c>
      <c r="P69" s="5" t="s">
        <v>718</v>
      </c>
      <c r="Q69" s="5" t="s">
        <v>719</v>
      </c>
      <c r="R69" s="5"/>
    </row>
    <row r="70" spans="1:18" ht="36" x14ac:dyDescent="0.25">
      <c r="A70" s="5" t="s">
        <v>720</v>
      </c>
      <c r="B70" s="5" t="s">
        <v>50</v>
      </c>
      <c r="C70" s="5" t="s">
        <v>697</v>
      </c>
      <c r="D70" s="5" t="s">
        <v>527</v>
      </c>
      <c r="E70" s="5" t="s">
        <v>721</v>
      </c>
      <c r="F70" s="5" t="s">
        <v>180</v>
      </c>
      <c r="G70" s="5" t="s">
        <v>106</v>
      </c>
      <c r="H70" s="5" t="s">
        <v>168</v>
      </c>
      <c r="I70" s="5"/>
      <c r="J70" s="5" t="s">
        <v>722</v>
      </c>
      <c r="K70" s="5" t="s">
        <v>723</v>
      </c>
      <c r="L70" s="5" t="s">
        <v>701</v>
      </c>
      <c r="M70" s="5" t="s">
        <v>172</v>
      </c>
      <c r="N70" s="5" t="s">
        <v>106</v>
      </c>
      <c r="O70" s="5" t="s">
        <v>724</v>
      </c>
      <c r="P70" s="5" t="s">
        <v>725</v>
      </c>
      <c r="Q70" s="5" t="s">
        <v>726</v>
      </c>
      <c r="R70" s="5"/>
    </row>
    <row r="71" spans="1:18" ht="36" x14ac:dyDescent="0.25">
      <c r="A71" s="5" t="s">
        <v>727</v>
      </c>
      <c r="B71" s="5" t="s">
        <v>50</v>
      </c>
      <c r="C71" s="5" t="s">
        <v>697</v>
      </c>
      <c r="D71" s="5" t="s">
        <v>728</v>
      </c>
      <c r="E71" s="5" t="s">
        <v>728</v>
      </c>
      <c r="F71" s="5" t="s">
        <v>353</v>
      </c>
      <c r="G71" s="5" t="s">
        <v>106</v>
      </c>
      <c r="H71" s="5" t="s">
        <v>168</v>
      </c>
      <c r="I71" s="5"/>
      <c r="J71" s="5" t="s">
        <v>729</v>
      </c>
      <c r="K71" s="5" t="s">
        <v>730</v>
      </c>
      <c r="L71" s="5" t="s">
        <v>701</v>
      </c>
      <c r="M71" s="5" t="s">
        <v>172</v>
      </c>
      <c r="N71" s="5" t="s">
        <v>94</v>
      </c>
      <c r="O71" s="5" t="s">
        <v>731</v>
      </c>
      <c r="P71" s="5" t="s">
        <v>732</v>
      </c>
      <c r="Q71" s="5" t="s">
        <v>733</v>
      </c>
      <c r="R71" s="5"/>
    </row>
    <row r="72" spans="1:18" ht="36" x14ac:dyDescent="0.25">
      <c r="A72" s="5" t="s">
        <v>734</v>
      </c>
      <c r="B72" s="5" t="s">
        <v>50</v>
      </c>
      <c r="C72" s="5" t="s">
        <v>697</v>
      </c>
      <c r="D72" s="5" t="s">
        <v>735</v>
      </c>
      <c r="E72" s="5" t="s">
        <v>736</v>
      </c>
      <c r="F72" s="5" t="s">
        <v>737</v>
      </c>
      <c r="G72" s="5" t="s">
        <v>106</v>
      </c>
      <c r="H72" s="5" t="s">
        <v>106</v>
      </c>
      <c r="I72" s="5" t="s">
        <v>738</v>
      </c>
      <c r="J72" s="5" t="s">
        <v>106</v>
      </c>
      <c r="K72" s="5" t="s">
        <v>106</v>
      </c>
      <c r="L72" s="5" t="s">
        <v>701</v>
      </c>
      <c r="M72" s="5" t="s">
        <v>172</v>
      </c>
      <c r="N72" s="5" t="s">
        <v>106</v>
      </c>
      <c r="O72" s="5" t="s">
        <v>739</v>
      </c>
      <c r="P72" s="5" t="s">
        <v>106</v>
      </c>
      <c r="Q72" s="5" t="s">
        <v>106</v>
      </c>
      <c r="R72" s="5"/>
    </row>
    <row r="73" spans="1:18" ht="36" x14ac:dyDescent="0.25">
      <c r="A73" s="5" t="s">
        <v>740</v>
      </c>
      <c r="B73" s="5" t="s">
        <v>54</v>
      </c>
      <c r="C73" s="5" t="s">
        <v>54</v>
      </c>
      <c r="D73" s="5" t="s">
        <v>741</v>
      </c>
      <c r="E73" s="5" t="s">
        <v>742</v>
      </c>
      <c r="F73" s="5" t="s">
        <v>423</v>
      </c>
      <c r="G73" s="5" t="s">
        <v>168</v>
      </c>
      <c r="H73" s="5" t="s">
        <v>325</v>
      </c>
      <c r="I73" s="5" t="s">
        <v>493</v>
      </c>
      <c r="J73" s="5" t="s">
        <v>743</v>
      </c>
      <c r="K73" s="5" t="s">
        <v>744</v>
      </c>
      <c r="L73" s="5" t="s">
        <v>745</v>
      </c>
      <c r="M73" s="5" t="s">
        <v>40</v>
      </c>
      <c r="N73" s="5" t="s">
        <v>254</v>
      </c>
      <c r="O73" s="5" t="s">
        <v>746</v>
      </c>
      <c r="P73" s="5" t="s">
        <v>747</v>
      </c>
      <c r="Q73" s="5" t="s">
        <v>748</v>
      </c>
      <c r="R73" s="5"/>
    </row>
    <row r="74" spans="1:18" ht="36" x14ac:dyDescent="0.25">
      <c r="A74" s="5" t="s">
        <v>749</v>
      </c>
      <c r="B74" s="5" t="s">
        <v>54</v>
      </c>
      <c r="C74" s="5" t="s">
        <v>54</v>
      </c>
      <c r="D74" s="5" t="s">
        <v>750</v>
      </c>
      <c r="E74" s="5" t="s">
        <v>750</v>
      </c>
      <c r="F74" s="5" t="s">
        <v>751</v>
      </c>
      <c r="G74" s="5" t="s">
        <v>325</v>
      </c>
      <c r="H74" s="5" t="s">
        <v>325</v>
      </c>
      <c r="I74" s="5" t="s">
        <v>752</v>
      </c>
      <c r="J74" s="5" t="s">
        <v>753</v>
      </c>
      <c r="K74" s="5" t="s">
        <v>754</v>
      </c>
      <c r="L74" s="5" t="s">
        <v>745</v>
      </c>
      <c r="M74" s="5" t="s">
        <v>40</v>
      </c>
      <c r="N74" s="5" t="s">
        <v>82</v>
      </c>
      <c r="O74" s="5" t="s">
        <v>755</v>
      </c>
      <c r="P74" s="5" t="s">
        <v>756</v>
      </c>
      <c r="Q74" s="5" t="s">
        <v>757</v>
      </c>
      <c r="R74" s="5" t="s">
        <v>758</v>
      </c>
    </row>
    <row r="75" spans="1:18" ht="36" x14ac:dyDescent="0.25">
      <c r="A75" s="5" t="s">
        <v>759</v>
      </c>
      <c r="B75" s="5" t="s">
        <v>54</v>
      </c>
      <c r="C75" s="5" t="s">
        <v>54</v>
      </c>
      <c r="D75" s="5" t="s">
        <v>760</v>
      </c>
      <c r="E75" s="5" t="s">
        <v>760</v>
      </c>
      <c r="F75" s="5" t="s">
        <v>751</v>
      </c>
      <c r="G75" s="5" t="s">
        <v>325</v>
      </c>
      <c r="H75" s="5" t="s">
        <v>325</v>
      </c>
      <c r="I75" s="5" t="s">
        <v>761</v>
      </c>
      <c r="J75" s="5" t="s">
        <v>762</v>
      </c>
      <c r="K75" s="5" t="s">
        <v>763</v>
      </c>
      <c r="L75" s="5" t="s">
        <v>745</v>
      </c>
      <c r="M75" s="5" t="s">
        <v>40</v>
      </c>
      <c r="N75" s="5" t="s">
        <v>82</v>
      </c>
      <c r="O75" s="5" t="s">
        <v>764</v>
      </c>
      <c r="P75" s="5" t="s">
        <v>765</v>
      </c>
      <c r="Q75" s="5" t="s">
        <v>766</v>
      </c>
      <c r="R75" s="5" t="s">
        <v>758</v>
      </c>
    </row>
    <row r="76" spans="1:18" ht="36" x14ac:dyDescent="0.25">
      <c r="A76" s="5" t="s">
        <v>767</v>
      </c>
      <c r="B76" s="5" t="s">
        <v>54</v>
      </c>
      <c r="C76" s="5" t="s">
        <v>54</v>
      </c>
      <c r="D76" s="5" t="s">
        <v>768</v>
      </c>
      <c r="E76" s="5" t="s">
        <v>769</v>
      </c>
      <c r="F76" s="5" t="s">
        <v>751</v>
      </c>
      <c r="G76" s="5" t="s">
        <v>325</v>
      </c>
      <c r="H76" s="5" t="s">
        <v>325</v>
      </c>
      <c r="I76" s="5" t="s">
        <v>770</v>
      </c>
      <c r="J76" s="5" t="s">
        <v>771</v>
      </c>
      <c r="K76" s="5" t="s">
        <v>772</v>
      </c>
      <c r="L76" s="5" t="s">
        <v>745</v>
      </c>
      <c r="M76" s="5" t="s">
        <v>40</v>
      </c>
      <c r="N76" s="5" t="s">
        <v>82</v>
      </c>
      <c r="O76" s="5" t="s">
        <v>773</v>
      </c>
      <c r="P76" s="5" t="s">
        <v>774</v>
      </c>
      <c r="Q76" s="5" t="s">
        <v>775</v>
      </c>
      <c r="R76" s="5" t="s">
        <v>758</v>
      </c>
    </row>
    <row r="77" spans="1:18" ht="36" x14ac:dyDescent="0.25">
      <c r="A77" s="5" t="s">
        <v>776</v>
      </c>
      <c r="B77" s="5" t="s">
        <v>54</v>
      </c>
      <c r="C77" s="5" t="s">
        <v>54</v>
      </c>
      <c r="D77" s="5" t="s">
        <v>777</v>
      </c>
      <c r="E77" s="5" t="s">
        <v>778</v>
      </c>
      <c r="F77" s="5" t="s">
        <v>751</v>
      </c>
      <c r="G77" s="5" t="s">
        <v>325</v>
      </c>
      <c r="H77" s="5" t="s">
        <v>325</v>
      </c>
      <c r="I77" s="5" t="s">
        <v>779</v>
      </c>
      <c r="J77" s="5" t="s">
        <v>780</v>
      </c>
      <c r="K77" s="5" t="s">
        <v>781</v>
      </c>
      <c r="L77" s="5" t="s">
        <v>745</v>
      </c>
      <c r="M77" s="5" t="s">
        <v>40</v>
      </c>
      <c r="N77" s="5" t="s">
        <v>82</v>
      </c>
      <c r="O77" s="5" t="s">
        <v>782</v>
      </c>
      <c r="P77" s="5" t="s">
        <v>783</v>
      </c>
      <c r="Q77" s="5" t="s">
        <v>784</v>
      </c>
      <c r="R77" s="5" t="s">
        <v>785</v>
      </c>
    </row>
    <row r="78" spans="1:18" ht="36" x14ac:dyDescent="0.25">
      <c r="A78" s="5" t="s">
        <v>786</v>
      </c>
      <c r="B78" s="5" t="s">
        <v>54</v>
      </c>
      <c r="C78" s="5" t="s">
        <v>54</v>
      </c>
      <c r="D78" s="5" t="s">
        <v>787</v>
      </c>
      <c r="E78" s="5" t="s">
        <v>778</v>
      </c>
      <c r="F78" s="5" t="s">
        <v>751</v>
      </c>
      <c r="G78" s="5" t="s">
        <v>325</v>
      </c>
      <c r="H78" s="5" t="s">
        <v>325</v>
      </c>
      <c r="I78" s="5" t="s">
        <v>788</v>
      </c>
      <c r="J78" s="5" t="s">
        <v>789</v>
      </c>
      <c r="K78" s="5" t="s">
        <v>790</v>
      </c>
      <c r="L78" s="5" t="s">
        <v>745</v>
      </c>
      <c r="M78" s="5" t="s">
        <v>40</v>
      </c>
      <c r="N78" s="5" t="s">
        <v>82</v>
      </c>
      <c r="O78" s="5" t="s">
        <v>791</v>
      </c>
      <c r="P78" s="5" t="s">
        <v>792</v>
      </c>
      <c r="Q78" s="5" t="s">
        <v>793</v>
      </c>
      <c r="R78" s="5" t="s">
        <v>785</v>
      </c>
    </row>
    <row r="79" spans="1:18" ht="36" x14ac:dyDescent="0.25">
      <c r="A79" s="5" t="s">
        <v>794</v>
      </c>
      <c r="B79" s="5" t="s">
        <v>54</v>
      </c>
      <c r="C79" s="5" t="s">
        <v>54</v>
      </c>
      <c r="D79" s="5" t="s">
        <v>795</v>
      </c>
      <c r="E79" s="5" t="s">
        <v>796</v>
      </c>
      <c r="F79" s="5" t="s">
        <v>751</v>
      </c>
      <c r="G79" s="5" t="s">
        <v>325</v>
      </c>
      <c r="H79" s="5" t="s">
        <v>325</v>
      </c>
      <c r="I79" s="5" t="s">
        <v>797</v>
      </c>
      <c r="J79" s="5" t="s">
        <v>798</v>
      </c>
      <c r="K79" s="5" t="s">
        <v>799</v>
      </c>
      <c r="L79" s="5" t="s">
        <v>745</v>
      </c>
      <c r="M79" s="5" t="s">
        <v>40</v>
      </c>
      <c r="N79" s="5" t="s">
        <v>82</v>
      </c>
      <c r="O79" s="5" t="s">
        <v>800</v>
      </c>
      <c r="P79" s="5" t="s">
        <v>801</v>
      </c>
      <c r="Q79" s="5" t="s">
        <v>802</v>
      </c>
      <c r="R79" s="5" t="s">
        <v>758</v>
      </c>
    </row>
    <row r="80" spans="1:18" ht="36" x14ac:dyDescent="0.25">
      <c r="A80" s="5" t="s">
        <v>803</v>
      </c>
      <c r="B80" s="5" t="s">
        <v>54</v>
      </c>
      <c r="C80" s="5" t="s">
        <v>54</v>
      </c>
      <c r="D80" s="5" t="s">
        <v>804</v>
      </c>
      <c r="E80" s="5" t="s">
        <v>805</v>
      </c>
      <c r="F80" s="5" t="s">
        <v>751</v>
      </c>
      <c r="G80" s="5" t="s">
        <v>325</v>
      </c>
      <c r="H80" s="5" t="s">
        <v>325</v>
      </c>
      <c r="I80" s="5" t="s">
        <v>806</v>
      </c>
      <c r="J80" s="5" t="s">
        <v>807</v>
      </c>
      <c r="K80" s="5" t="s">
        <v>808</v>
      </c>
      <c r="L80" s="5" t="s">
        <v>745</v>
      </c>
      <c r="M80" s="5" t="s">
        <v>40</v>
      </c>
      <c r="N80" s="5" t="s">
        <v>82</v>
      </c>
      <c r="O80" s="5" t="s">
        <v>809</v>
      </c>
      <c r="P80" s="5" t="s">
        <v>810</v>
      </c>
      <c r="Q80" s="5" t="s">
        <v>811</v>
      </c>
      <c r="R80" s="5" t="s">
        <v>812</v>
      </c>
    </row>
    <row r="81" spans="1:18" ht="36" x14ac:dyDescent="0.25">
      <c r="A81" s="5" t="s">
        <v>813</v>
      </c>
      <c r="B81" s="5" t="s">
        <v>54</v>
      </c>
      <c r="C81" s="5" t="s">
        <v>54</v>
      </c>
      <c r="D81" s="5" t="s">
        <v>814</v>
      </c>
      <c r="E81" s="5" t="s">
        <v>501</v>
      </c>
      <c r="F81" s="5" t="s">
        <v>751</v>
      </c>
      <c r="G81" s="5" t="s">
        <v>325</v>
      </c>
      <c r="H81" s="5" t="s">
        <v>325</v>
      </c>
      <c r="I81" s="5" t="s">
        <v>815</v>
      </c>
      <c r="J81" s="5" t="s">
        <v>816</v>
      </c>
      <c r="K81" s="5" t="s">
        <v>817</v>
      </c>
      <c r="L81" s="5" t="s">
        <v>745</v>
      </c>
      <c r="M81" s="5" t="s">
        <v>40</v>
      </c>
      <c r="N81" s="5" t="s">
        <v>82</v>
      </c>
      <c r="O81" s="5" t="s">
        <v>818</v>
      </c>
      <c r="P81" s="5" t="s">
        <v>819</v>
      </c>
      <c r="Q81" s="5" t="s">
        <v>820</v>
      </c>
      <c r="R81" s="5" t="s">
        <v>812</v>
      </c>
    </row>
    <row r="82" spans="1:18" ht="36" x14ac:dyDescent="0.25">
      <c r="A82" s="5" t="s">
        <v>821</v>
      </c>
      <c r="B82" s="5" t="s">
        <v>54</v>
      </c>
      <c r="C82" s="5" t="s">
        <v>54</v>
      </c>
      <c r="D82" s="5" t="s">
        <v>822</v>
      </c>
      <c r="E82" s="5" t="s">
        <v>823</v>
      </c>
      <c r="F82" s="5" t="s">
        <v>751</v>
      </c>
      <c r="G82" s="5" t="s">
        <v>325</v>
      </c>
      <c r="H82" s="5" t="s">
        <v>325</v>
      </c>
      <c r="I82" s="5" t="s">
        <v>824</v>
      </c>
      <c r="J82" s="5" t="s">
        <v>825</v>
      </c>
      <c r="K82" s="5" t="s">
        <v>826</v>
      </c>
      <c r="L82" s="5" t="s">
        <v>745</v>
      </c>
      <c r="M82" s="5" t="s">
        <v>40</v>
      </c>
      <c r="N82" s="5" t="s">
        <v>106</v>
      </c>
      <c r="O82" s="5" t="s">
        <v>827</v>
      </c>
      <c r="P82" s="5" t="s">
        <v>828</v>
      </c>
      <c r="Q82" s="5" t="s">
        <v>829</v>
      </c>
      <c r="R82" s="5"/>
    </row>
    <row r="83" spans="1:18" ht="36" x14ac:dyDescent="0.25">
      <c r="A83" s="5" t="s">
        <v>830</v>
      </c>
      <c r="B83" s="5" t="s">
        <v>54</v>
      </c>
      <c r="C83" s="5" t="s">
        <v>54</v>
      </c>
      <c r="D83" s="5" t="s">
        <v>831</v>
      </c>
      <c r="E83" s="5" t="s">
        <v>832</v>
      </c>
      <c r="F83" s="5" t="s">
        <v>751</v>
      </c>
      <c r="G83" s="5" t="s">
        <v>325</v>
      </c>
      <c r="H83" s="5" t="s">
        <v>325</v>
      </c>
      <c r="I83" s="5" t="s">
        <v>833</v>
      </c>
      <c r="J83" s="5" t="s">
        <v>834</v>
      </c>
      <c r="K83" s="5" t="s">
        <v>835</v>
      </c>
      <c r="L83" s="5" t="s">
        <v>745</v>
      </c>
      <c r="M83" s="5" t="s">
        <v>40</v>
      </c>
      <c r="N83" s="5" t="s">
        <v>254</v>
      </c>
      <c r="O83" s="5" t="s">
        <v>836</v>
      </c>
      <c r="P83" s="5" t="s">
        <v>837</v>
      </c>
      <c r="Q83" s="5" t="s">
        <v>838</v>
      </c>
      <c r="R83" s="5"/>
    </row>
    <row r="84" spans="1:18" ht="36" x14ac:dyDescent="0.25">
      <c r="A84" s="5" t="s">
        <v>839</v>
      </c>
      <c r="B84" s="5" t="s">
        <v>54</v>
      </c>
      <c r="C84" s="5" t="s">
        <v>54</v>
      </c>
      <c r="D84" s="5" t="s">
        <v>840</v>
      </c>
      <c r="E84" s="5" t="s">
        <v>501</v>
      </c>
      <c r="F84" s="5" t="s">
        <v>434</v>
      </c>
      <c r="G84" s="5" t="s">
        <v>325</v>
      </c>
      <c r="H84" s="5" t="s">
        <v>325</v>
      </c>
      <c r="I84" s="5" t="s">
        <v>667</v>
      </c>
      <c r="J84" s="5" t="s">
        <v>841</v>
      </c>
      <c r="K84" s="5" t="s">
        <v>842</v>
      </c>
      <c r="L84" s="5" t="s">
        <v>745</v>
      </c>
      <c r="M84" s="5" t="s">
        <v>40</v>
      </c>
      <c r="N84" s="5" t="s">
        <v>254</v>
      </c>
      <c r="O84" s="5" t="s">
        <v>843</v>
      </c>
      <c r="P84" s="5" t="s">
        <v>844</v>
      </c>
      <c r="Q84" s="5" t="s">
        <v>845</v>
      </c>
      <c r="R84" s="5"/>
    </row>
    <row r="85" spans="1:18" ht="36" x14ac:dyDescent="0.25">
      <c r="A85" s="5" t="s">
        <v>846</v>
      </c>
      <c r="B85" s="5" t="s">
        <v>57</v>
      </c>
      <c r="C85" s="5" t="s">
        <v>847</v>
      </c>
      <c r="D85" s="5" t="s">
        <v>848</v>
      </c>
      <c r="E85" s="5" t="s">
        <v>849</v>
      </c>
      <c r="F85" s="5" t="s">
        <v>423</v>
      </c>
      <c r="G85" s="5" t="s">
        <v>168</v>
      </c>
      <c r="H85" s="5" t="s">
        <v>325</v>
      </c>
      <c r="I85" s="5" t="s">
        <v>493</v>
      </c>
      <c r="J85" s="5" t="s">
        <v>850</v>
      </c>
      <c r="K85" s="5" t="s">
        <v>851</v>
      </c>
      <c r="L85" s="5" t="s">
        <v>852</v>
      </c>
      <c r="M85" s="5" t="s">
        <v>40</v>
      </c>
      <c r="N85" s="5" t="s">
        <v>106</v>
      </c>
      <c r="O85" s="5" t="s">
        <v>853</v>
      </c>
      <c r="P85" s="5" t="s">
        <v>854</v>
      </c>
      <c r="Q85" s="5" t="s">
        <v>855</v>
      </c>
      <c r="R85" s="5"/>
    </row>
    <row r="86" spans="1:18" ht="36" x14ac:dyDescent="0.25">
      <c r="A86" s="5" t="s">
        <v>856</v>
      </c>
      <c r="B86" s="5" t="s">
        <v>57</v>
      </c>
      <c r="C86" s="5" t="s">
        <v>847</v>
      </c>
      <c r="D86" s="5" t="s">
        <v>857</v>
      </c>
      <c r="E86" s="5" t="s">
        <v>433</v>
      </c>
      <c r="F86" s="5" t="s">
        <v>434</v>
      </c>
      <c r="G86" s="5" t="s">
        <v>325</v>
      </c>
      <c r="H86" s="5" t="s">
        <v>325</v>
      </c>
      <c r="I86" s="5" t="s">
        <v>343</v>
      </c>
      <c r="J86" s="5" t="s">
        <v>858</v>
      </c>
      <c r="K86" s="5" t="s">
        <v>859</v>
      </c>
      <c r="L86" s="5" t="s">
        <v>852</v>
      </c>
      <c r="M86" s="5" t="s">
        <v>40</v>
      </c>
      <c r="N86" s="5" t="s">
        <v>106</v>
      </c>
      <c r="O86" s="5" t="s">
        <v>860</v>
      </c>
      <c r="P86" s="5" t="s">
        <v>861</v>
      </c>
      <c r="Q86" s="5" t="s">
        <v>862</v>
      </c>
      <c r="R86" s="5"/>
    </row>
    <row r="87" spans="1:18" ht="36" x14ac:dyDescent="0.25">
      <c r="A87" s="5" t="s">
        <v>863</v>
      </c>
      <c r="B87" s="5" t="s">
        <v>57</v>
      </c>
      <c r="C87" s="5" t="s">
        <v>847</v>
      </c>
      <c r="D87" s="5" t="s">
        <v>864</v>
      </c>
      <c r="E87" s="5" t="s">
        <v>864</v>
      </c>
      <c r="F87" s="5" t="s">
        <v>434</v>
      </c>
      <c r="G87" s="5" t="s">
        <v>325</v>
      </c>
      <c r="H87" s="5" t="s">
        <v>325</v>
      </c>
      <c r="I87" s="5" t="s">
        <v>865</v>
      </c>
      <c r="J87" s="5" t="s">
        <v>866</v>
      </c>
      <c r="K87" s="5" t="s">
        <v>867</v>
      </c>
      <c r="L87" s="5" t="s">
        <v>852</v>
      </c>
      <c r="M87" s="5" t="s">
        <v>40</v>
      </c>
      <c r="N87" s="5" t="s">
        <v>106</v>
      </c>
      <c r="O87" s="5" t="s">
        <v>868</v>
      </c>
      <c r="P87" s="5" t="s">
        <v>869</v>
      </c>
      <c r="Q87" s="5" t="s">
        <v>870</v>
      </c>
      <c r="R87" s="5"/>
    </row>
    <row r="88" spans="1:18" ht="36" x14ac:dyDescent="0.25">
      <c r="A88" s="5" t="s">
        <v>871</v>
      </c>
      <c r="B88" s="5" t="s">
        <v>57</v>
      </c>
      <c r="C88" s="5" t="s">
        <v>847</v>
      </c>
      <c r="D88" s="5" t="s">
        <v>872</v>
      </c>
      <c r="E88" s="5" t="s">
        <v>872</v>
      </c>
      <c r="F88" s="5" t="s">
        <v>434</v>
      </c>
      <c r="G88" s="5" t="s">
        <v>325</v>
      </c>
      <c r="H88" s="5" t="s">
        <v>325</v>
      </c>
      <c r="I88" s="5" t="s">
        <v>343</v>
      </c>
      <c r="J88" s="5" t="s">
        <v>873</v>
      </c>
      <c r="K88" s="5" t="s">
        <v>874</v>
      </c>
      <c r="L88" s="5" t="s">
        <v>852</v>
      </c>
      <c r="M88" s="5" t="s">
        <v>40</v>
      </c>
      <c r="N88" s="5" t="s">
        <v>106</v>
      </c>
      <c r="O88" s="5" t="s">
        <v>875</v>
      </c>
      <c r="P88" s="5" t="s">
        <v>876</v>
      </c>
      <c r="Q88" s="5" t="s">
        <v>877</v>
      </c>
      <c r="R88" s="5"/>
    </row>
    <row r="89" spans="1:18" ht="36" x14ac:dyDescent="0.25">
      <c r="A89" s="5" t="s">
        <v>878</v>
      </c>
      <c r="B89" s="5" t="s">
        <v>57</v>
      </c>
      <c r="C89" s="5" t="s">
        <v>847</v>
      </c>
      <c r="D89" s="5" t="s">
        <v>879</v>
      </c>
      <c r="E89" s="5" t="s">
        <v>501</v>
      </c>
      <c r="F89" s="5" t="s">
        <v>434</v>
      </c>
      <c r="G89" s="5" t="s">
        <v>325</v>
      </c>
      <c r="H89" s="5" t="s">
        <v>325</v>
      </c>
      <c r="I89" s="5" t="s">
        <v>343</v>
      </c>
      <c r="J89" s="5" t="s">
        <v>880</v>
      </c>
      <c r="K89" s="5" t="s">
        <v>881</v>
      </c>
      <c r="L89" s="5" t="s">
        <v>852</v>
      </c>
      <c r="M89" s="5" t="s">
        <v>40</v>
      </c>
      <c r="N89" s="5" t="s">
        <v>106</v>
      </c>
      <c r="O89" s="5" t="s">
        <v>882</v>
      </c>
      <c r="P89" s="5" t="s">
        <v>883</v>
      </c>
      <c r="Q89" s="5" t="s">
        <v>884</v>
      </c>
      <c r="R89" s="5"/>
    </row>
    <row r="90" spans="1:18" ht="36" x14ac:dyDescent="0.25">
      <c r="A90" s="5" t="s">
        <v>885</v>
      </c>
      <c r="B90" s="5" t="s">
        <v>57</v>
      </c>
      <c r="C90" s="5" t="s">
        <v>847</v>
      </c>
      <c r="D90" s="5" t="s">
        <v>886</v>
      </c>
      <c r="E90" s="5" t="s">
        <v>887</v>
      </c>
      <c r="F90" s="5" t="s">
        <v>434</v>
      </c>
      <c r="G90" s="5" t="s">
        <v>325</v>
      </c>
      <c r="H90" s="5" t="s">
        <v>325</v>
      </c>
      <c r="I90" s="5" t="s">
        <v>888</v>
      </c>
      <c r="J90" s="5" t="s">
        <v>889</v>
      </c>
      <c r="K90" s="5" t="s">
        <v>890</v>
      </c>
      <c r="L90" s="5" t="s">
        <v>852</v>
      </c>
      <c r="M90" s="5" t="s">
        <v>40</v>
      </c>
      <c r="N90" s="5" t="s">
        <v>106</v>
      </c>
      <c r="O90" s="5" t="s">
        <v>891</v>
      </c>
      <c r="P90" s="5" t="s">
        <v>892</v>
      </c>
      <c r="Q90" s="5" t="s">
        <v>893</v>
      </c>
      <c r="R90" s="5"/>
    </row>
    <row r="91" spans="1:18" ht="36" x14ac:dyDescent="0.25">
      <c r="A91" s="5" t="s">
        <v>894</v>
      </c>
      <c r="B91" s="5" t="s">
        <v>57</v>
      </c>
      <c r="C91" s="5" t="s">
        <v>847</v>
      </c>
      <c r="D91" s="5" t="s">
        <v>895</v>
      </c>
      <c r="E91" s="5" t="s">
        <v>896</v>
      </c>
      <c r="F91" s="5" t="s">
        <v>434</v>
      </c>
      <c r="G91" s="5" t="s">
        <v>325</v>
      </c>
      <c r="H91" s="5" t="s">
        <v>325</v>
      </c>
      <c r="I91" s="5" t="s">
        <v>888</v>
      </c>
      <c r="J91" s="5" t="s">
        <v>897</v>
      </c>
      <c r="K91" s="5" t="s">
        <v>898</v>
      </c>
      <c r="L91" s="5" t="s">
        <v>852</v>
      </c>
      <c r="M91" s="5" t="s">
        <v>40</v>
      </c>
      <c r="N91" s="5" t="s">
        <v>106</v>
      </c>
      <c r="O91" s="5" t="s">
        <v>899</v>
      </c>
      <c r="P91" s="5" t="s">
        <v>900</v>
      </c>
      <c r="Q91" s="5" t="s">
        <v>901</v>
      </c>
      <c r="R91" s="5"/>
    </row>
    <row r="92" spans="1:18" ht="36" x14ac:dyDescent="0.25">
      <c r="A92" s="5" t="s">
        <v>902</v>
      </c>
      <c r="B92" s="5" t="s">
        <v>57</v>
      </c>
      <c r="C92" s="5" t="s">
        <v>847</v>
      </c>
      <c r="D92" s="5" t="s">
        <v>903</v>
      </c>
      <c r="E92" s="5" t="s">
        <v>501</v>
      </c>
      <c r="F92" s="5" t="s">
        <v>434</v>
      </c>
      <c r="G92" s="5" t="s">
        <v>325</v>
      </c>
      <c r="H92" s="5" t="s">
        <v>325</v>
      </c>
      <c r="I92" s="5" t="s">
        <v>343</v>
      </c>
      <c r="J92" s="5" t="s">
        <v>904</v>
      </c>
      <c r="K92" s="5" t="s">
        <v>905</v>
      </c>
      <c r="L92" s="5" t="s">
        <v>852</v>
      </c>
      <c r="M92" s="5" t="s">
        <v>40</v>
      </c>
      <c r="N92" s="5" t="s">
        <v>106</v>
      </c>
      <c r="O92" s="5" t="s">
        <v>906</v>
      </c>
      <c r="P92" s="5" t="s">
        <v>907</v>
      </c>
      <c r="Q92" s="5" t="s">
        <v>908</v>
      </c>
      <c r="R92" s="5"/>
    </row>
    <row r="93" spans="1:18" ht="36" x14ac:dyDescent="0.25">
      <c r="A93" s="5" t="s">
        <v>909</v>
      </c>
      <c r="B93" s="5" t="s">
        <v>57</v>
      </c>
      <c r="C93" s="5" t="s">
        <v>847</v>
      </c>
      <c r="D93" s="5" t="s">
        <v>822</v>
      </c>
      <c r="E93" s="5" t="s">
        <v>823</v>
      </c>
      <c r="F93" s="5" t="s">
        <v>751</v>
      </c>
      <c r="G93" s="5" t="s">
        <v>325</v>
      </c>
      <c r="H93" s="5" t="s">
        <v>325</v>
      </c>
      <c r="I93" s="5" t="s">
        <v>824</v>
      </c>
      <c r="J93" s="5" t="s">
        <v>910</v>
      </c>
      <c r="K93" s="5" t="s">
        <v>911</v>
      </c>
      <c r="L93" s="5" t="s">
        <v>852</v>
      </c>
      <c r="M93" s="5" t="s">
        <v>40</v>
      </c>
      <c r="N93" s="5" t="s">
        <v>106</v>
      </c>
      <c r="O93" s="5" t="s">
        <v>912</v>
      </c>
      <c r="P93" s="5" t="s">
        <v>913</v>
      </c>
      <c r="Q93" s="5" t="s">
        <v>914</v>
      </c>
      <c r="R93" s="5"/>
    </row>
    <row r="94" spans="1:18" ht="36" x14ac:dyDescent="0.25">
      <c r="A94" s="5" t="s">
        <v>915</v>
      </c>
      <c r="B94" s="5" t="s">
        <v>57</v>
      </c>
      <c r="C94" s="5" t="s">
        <v>847</v>
      </c>
      <c r="D94" s="5" t="s">
        <v>840</v>
      </c>
      <c r="E94" s="5" t="s">
        <v>501</v>
      </c>
      <c r="F94" s="5" t="s">
        <v>434</v>
      </c>
      <c r="G94" s="5" t="s">
        <v>325</v>
      </c>
      <c r="H94" s="5" t="s">
        <v>325</v>
      </c>
      <c r="I94" s="5" t="s">
        <v>667</v>
      </c>
      <c r="J94" s="5" t="s">
        <v>916</v>
      </c>
      <c r="K94" s="5" t="s">
        <v>917</v>
      </c>
      <c r="L94" s="5" t="s">
        <v>852</v>
      </c>
      <c r="M94" s="5" t="s">
        <v>40</v>
      </c>
      <c r="N94" s="5" t="s">
        <v>106</v>
      </c>
      <c r="O94" s="5" t="s">
        <v>918</v>
      </c>
      <c r="P94" s="5" t="s">
        <v>919</v>
      </c>
      <c r="Q94" s="5" t="s">
        <v>920</v>
      </c>
      <c r="R94" s="5"/>
    </row>
    <row r="95" spans="1:18" ht="36" x14ac:dyDescent="0.25">
      <c r="A95" s="5" t="s">
        <v>921</v>
      </c>
      <c r="B95" s="5" t="s">
        <v>57</v>
      </c>
      <c r="C95" s="5" t="s">
        <v>922</v>
      </c>
      <c r="D95" s="5" t="s">
        <v>421</v>
      </c>
      <c r="E95" s="5" t="s">
        <v>422</v>
      </c>
      <c r="F95" s="5" t="s">
        <v>423</v>
      </c>
      <c r="G95" s="5" t="s">
        <v>168</v>
      </c>
      <c r="H95" s="5" t="s">
        <v>325</v>
      </c>
      <c r="I95" s="5" t="s">
        <v>493</v>
      </c>
      <c r="J95" s="5" t="s">
        <v>923</v>
      </c>
      <c r="K95" s="5" t="s">
        <v>924</v>
      </c>
      <c r="L95" s="5" t="s">
        <v>925</v>
      </c>
      <c r="M95" s="5" t="s">
        <v>40</v>
      </c>
      <c r="N95" s="5" t="s">
        <v>106</v>
      </c>
      <c r="O95" s="5" t="s">
        <v>926</v>
      </c>
      <c r="P95" s="5" t="s">
        <v>927</v>
      </c>
      <c r="Q95" s="5" t="s">
        <v>928</v>
      </c>
      <c r="R95" s="5"/>
    </row>
    <row r="96" spans="1:18" ht="36" x14ac:dyDescent="0.25">
      <c r="A96" s="5" t="s">
        <v>929</v>
      </c>
      <c r="B96" s="5" t="s">
        <v>57</v>
      </c>
      <c r="C96" s="5" t="s">
        <v>922</v>
      </c>
      <c r="D96" s="5" t="s">
        <v>930</v>
      </c>
      <c r="E96" s="5" t="s">
        <v>931</v>
      </c>
      <c r="F96" s="5" t="s">
        <v>324</v>
      </c>
      <c r="G96" s="5" t="s">
        <v>168</v>
      </c>
      <c r="H96" s="5" t="s">
        <v>325</v>
      </c>
      <c r="I96" s="5" t="s">
        <v>932</v>
      </c>
      <c r="J96" s="5" t="s">
        <v>933</v>
      </c>
      <c r="K96" s="5" t="s">
        <v>934</v>
      </c>
      <c r="L96" s="5" t="s">
        <v>925</v>
      </c>
      <c r="M96" s="5" t="s">
        <v>40</v>
      </c>
      <c r="N96" s="5" t="s">
        <v>106</v>
      </c>
      <c r="O96" s="5" t="s">
        <v>935</v>
      </c>
      <c r="P96" s="5" t="s">
        <v>936</v>
      </c>
      <c r="Q96" s="5" t="s">
        <v>937</v>
      </c>
      <c r="R96" s="5"/>
    </row>
    <row r="97" spans="1:18" ht="36" x14ac:dyDescent="0.25">
      <c r="A97" s="5" t="s">
        <v>938</v>
      </c>
      <c r="B97" s="5" t="s">
        <v>57</v>
      </c>
      <c r="C97" s="5" t="s">
        <v>922</v>
      </c>
      <c r="D97" s="5" t="s">
        <v>939</v>
      </c>
      <c r="E97" s="5" t="s">
        <v>939</v>
      </c>
      <c r="F97" s="5" t="s">
        <v>434</v>
      </c>
      <c r="G97" s="5" t="s">
        <v>325</v>
      </c>
      <c r="H97" s="5" t="s">
        <v>325</v>
      </c>
      <c r="I97" s="5" t="s">
        <v>435</v>
      </c>
      <c r="J97" s="5" t="s">
        <v>940</v>
      </c>
      <c r="K97" s="5" t="s">
        <v>941</v>
      </c>
      <c r="L97" s="5" t="s">
        <v>925</v>
      </c>
      <c r="M97" s="5" t="s">
        <v>40</v>
      </c>
      <c r="N97" s="5" t="s">
        <v>106</v>
      </c>
      <c r="O97" s="5" t="s">
        <v>942</v>
      </c>
      <c r="P97" s="5" t="s">
        <v>943</v>
      </c>
      <c r="Q97" s="5" t="s">
        <v>944</v>
      </c>
      <c r="R97" s="5"/>
    </row>
    <row r="98" spans="1:18" ht="36" x14ac:dyDescent="0.25">
      <c r="A98" s="5" t="s">
        <v>945</v>
      </c>
      <c r="B98" s="5" t="s">
        <v>57</v>
      </c>
      <c r="C98" s="5" t="s">
        <v>922</v>
      </c>
      <c r="D98" s="5" t="s">
        <v>946</v>
      </c>
      <c r="E98" s="5" t="s">
        <v>946</v>
      </c>
      <c r="F98" s="5" t="s">
        <v>434</v>
      </c>
      <c r="G98" s="5" t="s">
        <v>325</v>
      </c>
      <c r="H98" s="5" t="s">
        <v>325</v>
      </c>
      <c r="I98" s="5" t="s">
        <v>435</v>
      </c>
      <c r="J98" s="5" t="s">
        <v>947</v>
      </c>
      <c r="K98" s="5" t="s">
        <v>948</v>
      </c>
      <c r="L98" s="5" t="s">
        <v>925</v>
      </c>
      <c r="M98" s="5" t="s">
        <v>40</v>
      </c>
      <c r="N98" s="5" t="s">
        <v>106</v>
      </c>
      <c r="O98" s="5" t="s">
        <v>949</v>
      </c>
      <c r="P98" s="5" t="s">
        <v>950</v>
      </c>
      <c r="Q98" s="5" t="s">
        <v>951</v>
      </c>
      <c r="R98" s="5"/>
    </row>
    <row r="99" spans="1:18" ht="36" x14ac:dyDescent="0.25">
      <c r="A99" s="5" t="s">
        <v>952</v>
      </c>
      <c r="B99" s="5" t="s">
        <v>57</v>
      </c>
      <c r="C99" s="5" t="s">
        <v>922</v>
      </c>
      <c r="D99" s="5" t="s">
        <v>953</v>
      </c>
      <c r="E99" s="5" t="s">
        <v>953</v>
      </c>
      <c r="F99" s="5" t="s">
        <v>434</v>
      </c>
      <c r="G99" s="5" t="s">
        <v>325</v>
      </c>
      <c r="H99" s="5" t="s">
        <v>325</v>
      </c>
      <c r="I99" s="5" t="s">
        <v>435</v>
      </c>
      <c r="J99" s="5" t="s">
        <v>954</v>
      </c>
      <c r="K99" s="5" t="s">
        <v>955</v>
      </c>
      <c r="L99" s="5" t="s">
        <v>925</v>
      </c>
      <c r="M99" s="5" t="s">
        <v>40</v>
      </c>
      <c r="N99" s="5" t="s">
        <v>106</v>
      </c>
      <c r="O99" s="5" t="s">
        <v>956</v>
      </c>
      <c r="P99" s="5" t="s">
        <v>957</v>
      </c>
      <c r="Q99" s="5" t="s">
        <v>958</v>
      </c>
      <c r="R99" s="5"/>
    </row>
    <row r="100" spans="1:18" ht="36" x14ac:dyDescent="0.25">
      <c r="A100" s="5" t="s">
        <v>959</v>
      </c>
      <c r="B100" s="5" t="s">
        <v>57</v>
      </c>
      <c r="C100" s="5" t="s">
        <v>922</v>
      </c>
      <c r="D100" s="5" t="s">
        <v>666</v>
      </c>
      <c r="E100" s="5" t="s">
        <v>666</v>
      </c>
      <c r="F100" s="5" t="s">
        <v>434</v>
      </c>
      <c r="G100" s="5" t="s">
        <v>325</v>
      </c>
      <c r="H100" s="5" t="s">
        <v>325</v>
      </c>
      <c r="I100" s="5" t="s">
        <v>435</v>
      </c>
      <c r="J100" s="5" t="s">
        <v>960</v>
      </c>
      <c r="K100" s="5" t="s">
        <v>961</v>
      </c>
      <c r="L100" s="5" t="s">
        <v>925</v>
      </c>
      <c r="M100" s="5" t="s">
        <v>40</v>
      </c>
      <c r="N100" s="5" t="s">
        <v>106</v>
      </c>
      <c r="O100" s="5" t="s">
        <v>962</v>
      </c>
      <c r="P100" s="5" t="s">
        <v>963</v>
      </c>
      <c r="Q100" s="5" t="s">
        <v>964</v>
      </c>
      <c r="R100" s="5"/>
    </row>
    <row r="101" spans="1:18" ht="36" x14ac:dyDescent="0.25">
      <c r="A101" s="5" t="s">
        <v>965</v>
      </c>
      <c r="B101" s="5" t="s">
        <v>61</v>
      </c>
      <c r="C101" s="5" t="s">
        <v>966</v>
      </c>
      <c r="D101" s="5" t="s">
        <v>967</v>
      </c>
      <c r="E101" s="5" t="s">
        <v>968</v>
      </c>
      <c r="F101" s="5" t="s">
        <v>324</v>
      </c>
      <c r="G101" s="5" t="s">
        <v>168</v>
      </c>
      <c r="H101" s="5" t="s">
        <v>325</v>
      </c>
      <c r="I101" s="5" t="s">
        <v>969</v>
      </c>
      <c r="J101" s="5" t="s">
        <v>970</v>
      </c>
      <c r="K101" s="5" t="s">
        <v>971</v>
      </c>
      <c r="L101" s="5" t="s">
        <v>972</v>
      </c>
      <c r="M101" s="5" t="s">
        <v>40</v>
      </c>
      <c r="N101" s="5" t="s">
        <v>88</v>
      </c>
      <c r="O101" s="5" t="s">
        <v>973</v>
      </c>
      <c r="P101" s="5" t="s">
        <v>974</v>
      </c>
      <c r="Q101" s="5" t="s">
        <v>975</v>
      </c>
      <c r="R101" s="5" t="s">
        <v>976</v>
      </c>
    </row>
    <row r="102" spans="1:18" ht="36" x14ac:dyDescent="0.25">
      <c r="A102" s="5" t="s">
        <v>977</v>
      </c>
      <c r="B102" s="5" t="s">
        <v>61</v>
      </c>
      <c r="C102" s="5" t="s">
        <v>966</v>
      </c>
      <c r="D102" s="5" t="s">
        <v>978</v>
      </c>
      <c r="E102" s="5" t="s">
        <v>979</v>
      </c>
      <c r="F102" s="5" t="s">
        <v>751</v>
      </c>
      <c r="G102" s="5" t="s">
        <v>168</v>
      </c>
      <c r="H102" s="5" t="s">
        <v>325</v>
      </c>
      <c r="I102" s="5" t="s">
        <v>980</v>
      </c>
      <c r="J102" s="5" t="s">
        <v>981</v>
      </c>
      <c r="K102" s="5" t="s">
        <v>982</v>
      </c>
      <c r="L102" s="5" t="s">
        <v>972</v>
      </c>
      <c r="M102" s="5" t="s">
        <v>40</v>
      </c>
      <c r="N102" s="5" t="s">
        <v>88</v>
      </c>
      <c r="O102" s="5" t="s">
        <v>983</v>
      </c>
      <c r="P102" s="5" t="s">
        <v>984</v>
      </c>
      <c r="Q102" s="5" t="s">
        <v>985</v>
      </c>
      <c r="R102" s="5"/>
    </row>
    <row r="103" spans="1:18" ht="36" x14ac:dyDescent="0.25">
      <c r="A103" s="5" t="s">
        <v>986</v>
      </c>
      <c r="B103" s="5" t="s">
        <v>61</v>
      </c>
      <c r="C103" s="5" t="s">
        <v>966</v>
      </c>
      <c r="D103" s="5" t="s">
        <v>665</v>
      </c>
      <c r="E103" s="5" t="s">
        <v>666</v>
      </c>
      <c r="F103" s="5" t="s">
        <v>434</v>
      </c>
      <c r="G103" s="5" t="s">
        <v>325</v>
      </c>
      <c r="H103" s="5" t="s">
        <v>325</v>
      </c>
      <c r="I103" s="5" t="s">
        <v>343</v>
      </c>
      <c r="J103" s="5" t="s">
        <v>987</v>
      </c>
      <c r="K103" s="5" t="s">
        <v>988</v>
      </c>
      <c r="L103" s="5" t="s">
        <v>972</v>
      </c>
      <c r="M103" s="5" t="s">
        <v>40</v>
      </c>
      <c r="N103" s="5" t="s">
        <v>88</v>
      </c>
      <c r="O103" s="5" t="s">
        <v>989</v>
      </c>
      <c r="P103" s="5" t="s">
        <v>990</v>
      </c>
      <c r="Q103" s="5" t="s">
        <v>991</v>
      </c>
      <c r="R103" s="5"/>
    </row>
    <row r="104" spans="1:18" ht="36" x14ac:dyDescent="0.25">
      <c r="A104" s="5" t="s">
        <v>992</v>
      </c>
      <c r="B104" s="5" t="s">
        <v>61</v>
      </c>
      <c r="C104" s="5" t="s">
        <v>966</v>
      </c>
      <c r="D104" s="5" t="s">
        <v>993</v>
      </c>
      <c r="E104" s="5" t="s">
        <v>993</v>
      </c>
      <c r="F104" s="5" t="s">
        <v>353</v>
      </c>
      <c r="G104" s="5" t="s">
        <v>106</v>
      </c>
      <c r="H104" s="5" t="s">
        <v>168</v>
      </c>
      <c r="I104" s="5"/>
      <c r="J104" s="5" t="s">
        <v>994</v>
      </c>
      <c r="K104" s="5" t="s">
        <v>995</v>
      </c>
      <c r="L104" s="5" t="s">
        <v>972</v>
      </c>
      <c r="M104" s="5" t="s">
        <v>40</v>
      </c>
      <c r="N104" s="5" t="s">
        <v>106</v>
      </c>
      <c r="O104" s="5" t="s">
        <v>996</v>
      </c>
      <c r="P104" s="5" t="s">
        <v>997</v>
      </c>
      <c r="Q104" s="5" t="s">
        <v>998</v>
      </c>
      <c r="R104" s="5"/>
    </row>
    <row r="105" spans="1:18" ht="36" x14ac:dyDescent="0.25">
      <c r="A105" s="5" t="s">
        <v>999</v>
      </c>
      <c r="B105" s="5" t="s">
        <v>61</v>
      </c>
      <c r="C105" s="5" t="s">
        <v>966</v>
      </c>
      <c r="D105" s="5" t="s">
        <v>73</v>
      </c>
      <c r="E105" s="5" t="s">
        <v>1000</v>
      </c>
      <c r="F105" s="5" t="s">
        <v>1001</v>
      </c>
      <c r="G105" s="5" t="s">
        <v>106</v>
      </c>
      <c r="H105" s="5" t="s">
        <v>168</v>
      </c>
      <c r="I105" s="5" t="s">
        <v>1002</v>
      </c>
      <c r="J105" s="5" t="s">
        <v>106</v>
      </c>
      <c r="K105" s="5" t="s">
        <v>106</v>
      </c>
      <c r="L105" s="5" t="s">
        <v>972</v>
      </c>
      <c r="M105" s="5" t="s">
        <v>40</v>
      </c>
      <c r="N105" s="5" t="s">
        <v>88</v>
      </c>
      <c r="O105" s="5" t="s">
        <v>1003</v>
      </c>
      <c r="P105" s="5" t="s">
        <v>106</v>
      </c>
      <c r="Q105" s="5" t="s">
        <v>106</v>
      </c>
      <c r="R105" s="5"/>
    </row>
    <row r="106" spans="1:18" ht="36" x14ac:dyDescent="0.25">
      <c r="A106" s="5" t="s">
        <v>1004</v>
      </c>
      <c r="B106" s="5" t="s">
        <v>61</v>
      </c>
      <c r="C106" s="5" t="s">
        <v>1005</v>
      </c>
      <c r="D106" s="5" t="s">
        <v>978</v>
      </c>
      <c r="E106" s="5" t="s">
        <v>979</v>
      </c>
      <c r="F106" s="5" t="s">
        <v>751</v>
      </c>
      <c r="G106" s="5" t="s">
        <v>168</v>
      </c>
      <c r="H106" s="5" t="s">
        <v>325</v>
      </c>
      <c r="I106" s="5" t="s">
        <v>980</v>
      </c>
      <c r="J106" s="5" t="s">
        <v>1006</v>
      </c>
      <c r="K106" s="5" t="s">
        <v>1007</v>
      </c>
      <c r="L106" s="5" t="s">
        <v>1008</v>
      </c>
      <c r="M106" s="5" t="s">
        <v>1009</v>
      </c>
      <c r="N106" s="5" t="s">
        <v>106</v>
      </c>
      <c r="O106" s="5" t="s">
        <v>1010</v>
      </c>
      <c r="P106" s="5" t="s">
        <v>1011</v>
      </c>
      <c r="Q106" s="5" t="s">
        <v>1012</v>
      </c>
      <c r="R106" s="5"/>
    </row>
    <row r="107" spans="1:18" ht="36" x14ac:dyDescent="0.25">
      <c r="A107" s="5" t="s">
        <v>1013</v>
      </c>
      <c r="B107" s="5" t="s">
        <v>61</v>
      </c>
      <c r="C107" s="5" t="s">
        <v>1005</v>
      </c>
      <c r="D107" s="5" t="s">
        <v>1014</v>
      </c>
      <c r="E107" s="5" t="s">
        <v>1014</v>
      </c>
      <c r="F107" s="5" t="s">
        <v>324</v>
      </c>
      <c r="G107" s="5" t="s">
        <v>168</v>
      </c>
      <c r="H107" s="5" t="s">
        <v>325</v>
      </c>
      <c r="I107" s="5" t="s">
        <v>1015</v>
      </c>
      <c r="J107" s="5" t="s">
        <v>1016</v>
      </c>
      <c r="K107" s="5" t="s">
        <v>1017</v>
      </c>
      <c r="L107" s="5" t="s">
        <v>1008</v>
      </c>
      <c r="M107" s="5" t="s">
        <v>1009</v>
      </c>
      <c r="N107" s="5" t="s">
        <v>106</v>
      </c>
      <c r="O107" s="5" t="s">
        <v>1018</v>
      </c>
      <c r="P107" s="5" t="s">
        <v>1019</v>
      </c>
      <c r="Q107" s="5" t="s">
        <v>1020</v>
      </c>
      <c r="R107" s="5"/>
    </row>
    <row r="108" spans="1:18" ht="36" x14ac:dyDescent="0.25">
      <c r="A108" s="5" t="s">
        <v>1021</v>
      </c>
      <c r="B108" s="5" t="s">
        <v>61</v>
      </c>
      <c r="C108" s="5" t="s">
        <v>1005</v>
      </c>
      <c r="D108" s="5" t="s">
        <v>1022</v>
      </c>
      <c r="E108" s="5" t="s">
        <v>1023</v>
      </c>
      <c r="F108" s="5" t="s">
        <v>434</v>
      </c>
      <c r="G108" s="5" t="s">
        <v>325</v>
      </c>
      <c r="H108" s="5" t="s">
        <v>325</v>
      </c>
      <c r="I108" s="5" t="s">
        <v>563</v>
      </c>
      <c r="J108" s="5" t="s">
        <v>1024</v>
      </c>
      <c r="K108" s="5" t="s">
        <v>1025</v>
      </c>
      <c r="L108" s="5" t="s">
        <v>1008</v>
      </c>
      <c r="M108" s="5" t="s">
        <v>1009</v>
      </c>
      <c r="N108" s="5" t="s">
        <v>106</v>
      </c>
      <c r="O108" s="5" t="s">
        <v>1026</v>
      </c>
      <c r="P108" s="5" t="s">
        <v>1027</v>
      </c>
      <c r="Q108" s="5" t="s">
        <v>1028</v>
      </c>
      <c r="R108" s="5"/>
    </row>
    <row r="109" spans="1:18" ht="36" x14ac:dyDescent="0.25">
      <c r="A109" s="5" t="s">
        <v>1029</v>
      </c>
      <c r="B109" s="5" t="s">
        <v>61</v>
      </c>
      <c r="C109" s="5" t="s">
        <v>1005</v>
      </c>
      <c r="D109" s="5" t="s">
        <v>665</v>
      </c>
      <c r="E109" s="5" t="s">
        <v>666</v>
      </c>
      <c r="F109" s="5" t="s">
        <v>434</v>
      </c>
      <c r="G109" s="5" t="s">
        <v>325</v>
      </c>
      <c r="H109" s="5" t="s">
        <v>325</v>
      </c>
      <c r="I109" s="5" t="s">
        <v>343</v>
      </c>
      <c r="J109" s="5" t="s">
        <v>1030</v>
      </c>
      <c r="K109" s="5" t="s">
        <v>1031</v>
      </c>
      <c r="L109" s="5" t="s">
        <v>1008</v>
      </c>
      <c r="M109" s="5" t="s">
        <v>1009</v>
      </c>
      <c r="N109" s="5" t="s">
        <v>106</v>
      </c>
      <c r="O109" s="5" t="s">
        <v>1032</v>
      </c>
      <c r="P109" s="5" t="s">
        <v>1033</v>
      </c>
      <c r="Q109" s="5" t="s">
        <v>1034</v>
      </c>
      <c r="R109" s="5"/>
    </row>
    <row r="110" spans="1:18" ht="36" x14ac:dyDescent="0.25">
      <c r="A110" s="5" t="s">
        <v>1035</v>
      </c>
      <c r="B110" s="5" t="s">
        <v>61</v>
      </c>
      <c r="C110" s="5" t="s">
        <v>1005</v>
      </c>
      <c r="D110" s="5" t="s">
        <v>993</v>
      </c>
      <c r="E110" s="5" t="s">
        <v>993</v>
      </c>
      <c r="F110" s="5" t="s">
        <v>353</v>
      </c>
      <c r="G110" s="5" t="s">
        <v>106</v>
      </c>
      <c r="H110" s="5" t="s">
        <v>168</v>
      </c>
      <c r="I110" s="5"/>
      <c r="J110" s="5" t="s">
        <v>1036</v>
      </c>
      <c r="K110" s="5" t="s">
        <v>1037</v>
      </c>
      <c r="L110" s="5" t="s">
        <v>1008</v>
      </c>
      <c r="M110" s="5" t="s">
        <v>1009</v>
      </c>
      <c r="N110" s="5" t="s">
        <v>106</v>
      </c>
      <c r="O110" s="5" t="s">
        <v>1038</v>
      </c>
      <c r="P110" s="5" t="s">
        <v>1039</v>
      </c>
      <c r="Q110" s="5" t="s">
        <v>1040</v>
      </c>
      <c r="R110" s="5"/>
    </row>
    <row r="111" spans="1:18" ht="36" x14ac:dyDescent="0.25">
      <c r="A111" s="5" t="s">
        <v>1041</v>
      </c>
      <c r="B111" s="5" t="s">
        <v>61</v>
      </c>
      <c r="C111" s="5" t="s">
        <v>1005</v>
      </c>
      <c r="D111" s="5" t="s">
        <v>73</v>
      </c>
      <c r="E111" s="5" t="s">
        <v>1000</v>
      </c>
      <c r="F111" s="5" t="s">
        <v>1001</v>
      </c>
      <c r="G111" s="5" t="s">
        <v>106</v>
      </c>
      <c r="H111" s="5" t="s">
        <v>168</v>
      </c>
      <c r="I111" s="5" t="s">
        <v>1042</v>
      </c>
      <c r="J111" s="5" t="s">
        <v>106</v>
      </c>
      <c r="K111" s="5" t="s">
        <v>106</v>
      </c>
      <c r="L111" s="5" t="s">
        <v>1008</v>
      </c>
      <c r="M111" s="5" t="s">
        <v>1009</v>
      </c>
      <c r="N111" s="5" t="s">
        <v>106</v>
      </c>
      <c r="O111" s="5" t="s">
        <v>1043</v>
      </c>
      <c r="P111" s="5" t="s">
        <v>106</v>
      </c>
      <c r="Q111" s="5" t="s">
        <v>106</v>
      </c>
      <c r="R111" s="5"/>
    </row>
    <row r="112" spans="1:18" ht="36" x14ac:dyDescent="0.25">
      <c r="A112" s="5" t="s">
        <v>1044</v>
      </c>
      <c r="B112" s="5" t="s">
        <v>61</v>
      </c>
      <c r="C112" s="5" t="s">
        <v>1005</v>
      </c>
      <c r="D112" s="5" t="s">
        <v>1045</v>
      </c>
      <c r="E112" s="5" t="s">
        <v>1046</v>
      </c>
      <c r="F112" s="5" t="s">
        <v>190</v>
      </c>
      <c r="G112" s="5" t="s">
        <v>106</v>
      </c>
      <c r="H112" s="5" t="s">
        <v>168</v>
      </c>
      <c r="I112" s="5" t="s">
        <v>1047</v>
      </c>
      <c r="J112" s="5" t="s">
        <v>1048</v>
      </c>
      <c r="K112" s="5" t="s">
        <v>1049</v>
      </c>
      <c r="L112" s="5" t="s">
        <v>1008</v>
      </c>
      <c r="M112" s="5" t="s">
        <v>1009</v>
      </c>
      <c r="N112" s="5" t="s">
        <v>106</v>
      </c>
      <c r="O112" s="5" t="s">
        <v>1050</v>
      </c>
      <c r="P112" s="5" t="s">
        <v>1051</v>
      </c>
      <c r="Q112" s="5" t="s">
        <v>1052</v>
      </c>
      <c r="R112" s="5"/>
    </row>
    <row r="113" spans="1:18" ht="36" x14ac:dyDescent="0.25">
      <c r="A113" s="5" t="s">
        <v>1053</v>
      </c>
      <c r="B113" s="5" t="s">
        <v>61</v>
      </c>
      <c r="C113" s="5" t="s">
        <v>1054</v>
      </c>
      <c r="D113" s="5" t="s">
        <v>1055</v>
      </c>
      <c r="E113" s="5" t="s">
        <v>1056</v>
      </c>
      <c r="F113" s="5" t="s">
        <v>1001</v>
      </c>
      <c r="G113" s="5" t="s">
        <v>106</v>
      </c>
      <c r="H113" s="5" t="s">
        <v>168</v>
      </c>
      <c r="I113" s="5" t="s">
        <v>1057</v>
      </c>
      <c r="J113" s="5" t="s">
        <v>106</v>
      </c>
      <c r="K113" s="5" t="s">
        <v>106</v>
      </c>
      <c r="L113" s="5" t="s">
        <v>1058</v>
      </c>
      <c r="M113" s="5" t="s">
        <v>1059</v>
      </c>
      <c r="N113" s="5" t="s">
        <v>106</v>
      </c>
      <c r="O113" s="5" t="s">
        <v>1060</v>
      </c>
      <c r="P113" s="5" t="s">
        <v>106</v>
      </c>
      <c r="Q113" s="5" t="s">
        <v>106</v>
      </c>
      <c r="R113" s="5"/>
    </row>
    <row r="114" spans="1:18" ht="36" x14ac:dyDescent="0.25">
      <c r="A114" s="5" t="s">
        <v>1061</v>
      </c>
      <c r="B114" s="5" t="s">
        <v>61</v>
      </c>
      <c r="C114" s="5" t="s">
        <v>1054</v>
      </c>
      <c r="D114" s="5" t="s">
        <v>1062</v>
      </c>
      <c r="E114" s="5" t="s">
        <v>1063</v>
      </c>
      <c r="F114" s="5" t="s">
        <v>1001</v>
      </c>
      <c r="G114" s="5" t="s">
        <v>106</v>
      </c>
      <c r="H114" s="5" t="s">
        <v>168</v>
      </c>
      <c r="I114" s="5"/>
      <c r="J114" s="5" t="s">
        <v>106</v>
      </c>
      <c r="K114" s="5" t="s">
        <v>106</v>
      </c>
      <c r="L114" s="5" t="s">
        <v>1058</v>
      </c>
      <c r="M114" s="5" t="s">
        <v>1059</v>
      </c>
      <c r="N114" s="5" t="s">
        <v>106</v>
      </c>
      <c r="O114" s="5" t="s">
        <v>1064</v>
      </c>
      <c r="P114" s="5" t="s">
        <v>106</v>
      </c>
      <c r="Q114" s="5" t="s">
        <v>106</v>
      </c>
      <c r="R114" s="5"/>
    </row>
    <row r="115" spans="1:18" ht="36" x14ac:dyDescent="0.25">
      <c r="A115" s="5" t="s">
        <v>1065</v>
      </c>
      <c r="B115" s="5" t="s">
        <v>61</v>
      </c>
      <c r="C115" s="5" t="s">
        <v>1054</v>
      </c>
      <c r="D115" s="5" t="s">
        <v>1066</v>
      </c>
      <c r="E115" s="5" t="s">
        <v>1067</v>
      </c>
      <c r="F115" s="5" t="s">
        <v>1001</v>
      </c>
      <c r="G115" s="5" t="s">
        <v>106</v>
      </c>
      <c r="H115" s="5" t="s">
        <v>168</v>
      </c>
      <c r="I115" s="5" t="s">
        <v>1068</v>
      </c>
      <c r="J115" s="5" t="s">
        <v>106</v>
      </c>
      <c r="K115" s="5" t="s">
        <v>106</v>
      </c>
      <c r="L115" s="5" t="s">
        <v>1058</v>
      </c>
      <c r="M115" s="5" t="s">
        <v>1059</v>
      </c>
      <c r="N115" s="5" t="s">
        <v>106</v>
      </c>
      <c r="O115" s="5" t="s">
        <v>1069</v>
      </c>
      <c r="P115" s="5" t="s">
        <v>106</v>
      </c>
      <c r="Q115" s="5" t="s">
        <v>106</v>
      </c>
      <c r="R115" s="5"/>
    </row>
    <row r="116" spans="1:18" ht="36" x14ac:dyDescent="0.25">
      <c r="A116" s="5" t="s">
        <v>1070</v>
      </c>
      <c r="B116" s="5" t="s">
        <v>61</v>
      </c>
      <c r="C116" s="5" t="s">
        <v>1054</v>
      </c>
      <c r="D116" s="5" t="s">
        <v>1071</v>
      </c>
      <c r="E116" s="5" t="s">
        <v>243</v>
      </c>
      <c r="F116" s="5" t="s">
        <v>243</v>
      </c>
      <c r="G116" s="5" t="s">
        <v>106</v>
      </c>
      <c r="H116" s="5" t="s">
        <v>106</v>
      </c>
      <c r="I116" s="5" t="s">
        <v>1072</v>
      </c>
      <c r="J116" s="5" t="s">
        <v>1073</v>
      </c>
      <c r="K116" s="5" t="s">
        <v>1074</v>
      </c>
      <c r="L116" s="5" t="s">
        <v>1058</v>
      </c>
      <c r="M116" s="5" t="s">
        <v>1059</v>
      </c>
      <c r="N116" s="5" t="s">
        <v>106</v>
      </c>
      <c r="O116" s="5" t="s">
        <v>1075</v>
      </c>
      <c r="P116" s="5" t="s">
        <v>1076</v>
      </c>
      <c r="Q116" s="5" t="s">
        <v>1077</v>
      </c>
      <c r="R116" s="5"/>
    </row>
    <row r="117" spans="1:18" ht="36" x14ac:dyDescent="0.25">
      <c r="A117" s="5" t="s">
        <v>1078</v>
      </c>
      <c r="B117" s="5" t="s">
        <v>61</v>
      </c>
      <c r="C117" s="5" t="s">
        <v>1054</v>
      </c>
      <c r="D117" s="5" t="s">
        <v>1079</v>
      </c>
      <c r="E117" s="5" t="s">
        <v>1080</v>
      </c>
      <c r="F117" s="5" t="s">
        <v>737</v>
      </c>
      <c r="G117" s="5" t="s">
        <v>106</v>
      </c>
      <c r="H117" s="5" t="s">
        <v>106</v>
      </c>
      <c r="I117" s="5" t="s">
        <v>1081</v>
      </c>
      <c r="J117" s="5" t="s">
        <v>1082</v>
      </c>
      <c r="K117" s="5" t="s">
        <v>1083</v>
      </c>
      <c r="L117" s="5" t="s">
        <v>1058</v>
      </c>
      <c r="M117" s="5" t="s">
        <v>1059</v>
      </c>
      <c r="N117" s="5" t="s">
        <v>106</v>
      </c>
      <c r="O117" s="5" t="s">
        <v>1084</v>
      </c>
      <c r="P117" s="5" t="s">
        <v>1085</v>
      </c>
      <c r="Q117" s="5" t="s">
        <v>1086</v>
      </c>
      <c r="R117" s="5"/>
    </row>
    <row r="118" spans="1:18" ht="24" x14ac:dyDescent="0.25">
      <c r="A118" s="5" t="s">
        <v>1087</v>
      </c>
      <c r="B118" s="5" t="s">
        <v>67</v>
      </c>
      <c r="C118" s="5" t="s">
        <v>1088</v>
      </c>
      <c r="D118" s="5" t="s">
        <v>274</v>
      </c>
      <c r="E118" s="5" t="s">
        <v>106</v>
      </c>
      <c r="F118" s="5" t="s">
        <v>423</v>
      </c>
      <c r="G118" s="5" t="s">
        <v>168</v>
      </c>
      <c r="H118" s="5" t="s">
        <v>325</v>
      </c>
      <c r="I118" s="5" t="s">
        <v>493</v>
      </c>
      <c r="J118" s="5" t="s">
        <v>1089</v>
      </c>
      <c r="K118" s="5" t="s">
        <v>1090</v>
      </c>
      <c r="L118" s="5" t="s">
        <v>1091</v>
      </c>
      <c r="M118" s="5" t="s">
        <v>320</v>
      </c>
      <c r="N118" s="5" t="s">
        <v>82</v>
      </c>
      <c r="O118" s="5" t="s">
        <v>1092</v>
      </c>
      <c r="P118" s="5" t="s">
        <v>1093</v>
      </c>
      <c r="Q118" s="5" t="s">
        <v>1094</v>
      </c>
      <c r="R118" s="5"/>
    </row>
    <row r="119" spans="1:18" ht="24" x14ac:dyDescent="0.25">
      <c r="A119" s="5" t="s">
        <v>1095</v>
      </c>
      <c r="B119" s="5" t="s">
        <v>67</v>
      </c>
      <c r="C119" s="5" t="s">
        <v>1088</v>
      </c>
      <c r="D119" s="5" t="s">
        <v>282</v>
      </c>
      <c r="E119" s="5" t="s">
        <v>106</v>
      </c>
      <c r="F119" s="5" t="s">
        <v>324</v>
      </c>
      <c r="G119" s="5" t="s">
        <v>168</v>
      </c>
      <c r="H119" s="5" t="s">
        <v>325</v>
      </c>
      <c r="I119" s="5" t="s">
        <v>283</v>
      </c>
      <c r="J119" s="5" t="s">
        <v>1096</v>
      </c>
      <c r="K119" s="5" t="s">
        <v>1097</v>
      </c>
      <c r="L119" s="5" t="s">
        <v>1091</v>
      </c>
      <c r="M119" s="5" t="s">
        <v>320</v>
      </c>
      <c r="N119" s="5" t="s">
        <v>106</v>
      </c>
      <c r="O119" s="5" t="s">
        <v>1098</v>
      </c>
      <c r="P119" s="5" t="s">
        <v>1099</v>
      </c>
      <c r="Q119" s="5" t="s">
        <v>1100</v>
      </c>
      <c r="R119" s="5"/>
    </row>
    <row r="120" spans="1:18" ht="24" x14ac:dyDescent="0.25">
      <c r="A120" s="5" t="s">
        <v>1101</v>
      </c>
      <c r="B120" s="5" t="s">
        <v>67</v>
      </c>
      <c r="C120" s="5" t="s">
        <v>1088</v>
      </c>
      <c r="D120" s="5" t="s">
        <v>290</v>
      </c>
      <c r="E120" s="5" t="s">
        <v>106</v>
      </c>
      <c r="F120" s="5" t="s">
        <v>342</v>
      </c>
      <c r="G120" s="5" t="s">
        <v>325</v>
      </c>
      <c r="H120" s="5" t="s">
        <v>325</v>
      </c>
      <c r="I120" s="5" t="s">
        <v>667</v>
      </c>
      <c r="J120" s="5" t="s">
        <v>1102</v>
      </c>
      <c r="K120" s="5" t="s">
        <v>1103</v>
      </c>
      <c r="L120" s="5" t="s">
        <v>1091</v>
      </c>
      <c r="M120" s="5" t="s">
        <v>320</v>
      </c>
      <c r="N120" s="5" t="s">
        <v>82</v>
      </c>
      <c r="O120" s="5" t="s">
        <v>1104</v>
      </c>
      <c r="P120" s="5" t="s">
        <v>1105</v>
      </c>
      <c r="Q120" s="5" t="s">
        <v>1106</v>
      </c>
      <c r="R120" s="5" t="s">
        <v>1107</v>
      </c>
    </row>
    <row r="121" spans="1:18" ht="24" x14ac:dyDescent="0.25">
      <c r="A121" s="5" t="s">
        <v>1108</v>
      </c>
      <c r="B121" s="5" t="s">
        <v>67</v>
      </c>
      <c r="C121" s="5" t="s">
        <v>1088</v>
      </c>
      <c r="D121" s="5" t="s">
        <v>297</v>
      </c>
      <c r="E121" s="5" t="s">
        <v>106</v>
      </c>
      <c r="F121" s="5" t="s">
        <v>342</v>
      </c>
      <c r="G121" s="5" t="s">
        <v>325</v>
      </c>
      <c r="H121" s="5" t="s">
        <v>325</v>
      </c>
      <c r="I121" s="5" t="s">
        <v>435</v>
      </c>
      <c r="J121" s="5" t="s">
        <v>1109</v>
      </c>
      <c r="K121" s="5" t="s">
        <v>1110</v>
      </c>
      <c r="L121" s="5" t="s">
        <v>1091</v>
      </c>
      <c r="M121" s="5" t="s">
        <v>320</v>
      </c>
      <c r="N121" s="5" t="s">
        <v>106</v>
      </c>
      <c r="O121" s="5" t="s">
        <v>1111</v>
      </c>
      <c r="P121" s="5" t="s">
        <v>1112</v>
      </c>
      <c r="Q121" s="5" t="s">
        <v>1113</v>
      </c>
      <c r="R121" s="5"/>
    </row>
    <row r="122" spans="1:18" ht="24" x14ac:dyDescent="0.25">
      <c r="A122" s="5" t="s">
        <v>1114</v>
      </c>
      <c r="B122" s="5" t="s">
        <v>67</v>
      </c>
      <c r="C122" s="5" t="s">
        <v>1088</v>
      </c>
      <c r="D122" s="5" t="s">
        <v>304</v>
      </c>
      <c r="E122" s="5" t="s">
        <v>106</v>
      </c>
      <c r="F122" s="5" t="s">
        <v>342</v>
      </c>
      <c r="G122" s="5" t="s">
        <v>325</v>
      </c>
      <c r="H122" s="5" t="s">
        <v>325</v>
      </c>
      <c r="I122" s="5" t="s">
        <v>435</v>
      </c>
      <c r="J122" s="5" t="s">
        <v>1115</v>
      </c>
      <c r="K122" s="5" t="s">
        <v>1116</v>
      </c>
      <c r="L122" s="5" t="s">
        <v>1091</v>
      </c>
      <c r="M122" s="5" t="s">
        <v>320</v>
      </c>
      <c r="N122" s="5" t="s">
        <v>106</v>
      </c>
      <c r="O122" s="5" t="s">
        <v>1117</v>
      </c>
      <c r="P122" s="5" t="s">
        <v>1118</v>
      </c>
      <c r="Q122" s="5" t="s">
        <v>1119</v>
      </c>
      <c r="R122" s="5"/>
    </row>
    <row r="123" spans="1:18" ht="24" x14ac:dyDescent="0.25">
      <c r="A123" s="5" t="s">
        <v>1120</v>
      </c>
      <c r="B123" s="5" t="s">
        <v>67</v>
      </c>
      <c r="C123" s="5" t="s">
        <v>1088</v>
      </c>
      <c r="D123" s="5" t="s">
        <v>1121</v>
      </c>
      <c r="E123" s="5" t="s">
        <v>478</v>
      </c>
      <c r="F123" s="5" t="s">
        <v>243</v>
      </c>
      <c r="G123" s="5" t="s">
        <v>106</v>
      </c>
      <c r="H123" s="5" t="s">
        <v>106</v>
      </c>
      <c r="I123" s="5" t="s">
        <v>1122</v>
      </c>
      <c r="J123" s="5" t="s">
        <v>106</v>
      </c>
      <c r="K123" s="5" t="s">
        <v>106</v>
      </c>
      <c r="L123" s="5" t="s">
        <v>1091</v>
      </c>
      <c r="M123" s="5" t="s">
        <v>320</v>
      </c>
      <c r="N123" s="5" t="s">
        <v>88</v>
      </c>
      <c r="O123" s="5" t="s">
        <v>1123</v>
      </c>
      <c r="P123" s="5" t="s">
        <v>106</v>
      </c>
      <c r="Q123" s="5" t="s">
        <v>106</v>
      </c>
      <c r="R123" s="5"/>
    </row>
    <row r="124" spans="1:18" ht="36" x14ac:dyDescent="0.25">
      <c r="A124" s="5" t="s">
        <v>1124</v>
      </c>
      <c r="B124" s="5" t="s">
        <v>67</v>
      </c>
      <c r="C124" s="5" t="s">
        <v>1125</v>
      </c>
      <c r="D124" s="5" t="s">
        <v>1126</v>
      </c>
      <c r="E124" s="5" t="s">
        <v>1127</v>
      </c>
      <c r="F124" s="5" t="s">
        <v>180</v>
      </c>
      <c r="G124" s="5" t="s">
        <v>106</v>
      </c>
      <c r="H124" s="5" t="s">
        <v>168</v>
      </c>
      <c r="I124" s="5" t="s">
        <v>1128</v>
      </c>
      <c r="J124" s="5" t="s">
        <v>1129</v>
      </c>
      <c r="K124" s="5" t="s">
        <v>1130</v>
      </c>
      <c r="L124" s="5" t="s">
        <v>1131</v>
      </c>
      <c r="M124" s="5" t="s">
        <v>1132</v>
      </c>
      <c r="N124" s="5" t="s">
        <v>82</v>
      </c>
      <c r="O124" s="5" t="s">
        <v>1133</v>
      </c>
      <c r="P124" s="5" t="s">
        <v>1134</v>
      </c>
      <c r="Q124" s="5" t="s">
        <v>1135</v>
      </c>
      <c r="R124" s="5"/>
    </row>
    <row r="125" spans="1:18" ht="36" x14ac:dyDescent="0.25">
      <c r="A125" s="5" t="s">
        <v>1136</v>
      </c>
      <c r="B125" s="5" t="s">
        <v>67</v>
      </c>
      <c r="C125" s="5" t="s">
        <v>1125</v>
      </c>
      <c r="D125" s="5" t="s">
        <v>1137</v>
      </c>
      <c r="E125" s="5" t="s">
        <v>1138</v>
      </c>
      <c r="F125" s="5" t="s">
        <v>243</v>
      </c>
      <c r="G125" s="5" t="s">
        <v>106</v>
      </c>
      <c r="H125" s="5" t="s">
        <v>106</v>
      </c>
      <c r="I125" s="5" t="s">
        <v>1139</v>
      </c>
      <c r="J125" s="5" t="s">
        <v>106</v>
      </c>
      <c r="K125" s="5" t="s">
        <v>106</v>
      </c>
      <c r="L125" s="5" t="s">
        <v>1131</v>
      </c>
      <c r="M125" s="5" t="s">
        <v>1132</v>
      </c>
      <c r="N125" s="5" t="s">
        <v>106</v>
      </c>
      <c r="O125" s="5" t="s">
        <v>1140</v>
      </c>
      <c r="P125" s="5" t="s">
        <v>106</v>
      </c>
      <c r="Q125" s="5" t="s">
        <v>106</v>
      </c>
      <c r="R125" s="5"/>
    </row>
    <row r="126" spans="1:18" ht="36" x14ac:dyDescent="0.25">
      <c r="A126" s="5" t="s">
        <v>1141</v>
      </c>
      <c r="B126" s="5" t="s">
        <v>67</v>
      </c>
      <c r="C126" s="5" t="s">
        <v>1125</v>
      </c>
      <c r="D126" s="5" t="s">
        <v>1142</v>
      </c>
      <c r="E126" s="5" t="s">
        <v>737</v>
      </c>
      <c r="F126" s="5" t="s">
        <v>737</v>
      </c>
      <c r="G126" s="5" t="s">
        <v>106</v>
      </c>
      <c r="H126" s="5" t="s">
        <v>106</v>
      </c>
      <c r="I126" s="5" t="s">
        <v>1143</v>
      </c>
      <c r="J126" s="5" t="s">
        <v>106</v>
      </c>
      <c r="K126" s="5" t="s">
        <v>106</v>
      </c>
      <c r="L126" s="5" t="s">
        <v>1131</v>
      </c>
      <c r="M126" s="5" t="s">
        <v>1132</v>
      </c>
      <c r="N126" s="5" t="s">
        <v>106</v>
      </c>
      <c r="O126" s="5" t="s">
        <v>1144</v>
      </c>
      <c r="P126" s="5" t="s">
        <v>106</v>
      </c>
      <c r="Q126" s="5" t="s">
        <v>106</v>
      </c>
      <c r="R126" s="5"/>
    </row>
    <row r="127" spans="1:18" ht="36" x14ac:dyDescent="0.25">
      <c r="A127" s="5" t="s">
        <v>1145</v>
      </c>
      <c r="B127" s="5" t="s">
        <v>1146</v>
      </c>
      <c r="C127" s="5" t="s">
        <v>1147</v>
      </c>
      <c r="D127" s="5" t="s">
        <v>1148</v>
      </c>
      <c r="E127" s="5" t="s">
        <v>1148</v>
      </c>
      <c r="F127" s="5" t="s">
        <v>190</v>
      </c>
      <c r="G127" s="5" t="s">
        <v>106</v>
      </c>
      <c r="H127" s="5" t="s">
        <v>168</v>
      </c>
      <c r="I127" s="5"/>
      <c r="J127" s="5" t="s">
        <v>1149</v>
      </c>
      <c r="K127" s="5" t="s">
        <v>1150</v>
      </c>
      <c r="L127" s="5" t="s">
        <v>1151</v>
      </c>
      <c r="M127" s="5" t="s">
        <v>1152</v>
      </c>
      <c r="N127" s="5" t="s">
        <v>82</v>
      </c>
      <c r="O127" s="5" t="s">
        <v>1153</v>
      </c>
      <c r="P127" s="5" t="s">
        <v>1154</v>
      </c>
      <c r="Q127" s="5" t="s">
        <v>1155</v>
      </c>
      <c r="R127" s="5"/>
    </row>
    <row r="128" spans="1:18" ht="36" x14ac:dyDescent="0.25">
      <c r="A128" s="5" t="s">
        <v>1156</v>
      </c>
      <c r="B128" s="5" t="s">
        <v>1146</v>
      </c>
      <c r="C128" s="5" t="s">
        <v>1147</v>
      </c>
      <c r="D128" s="5" t="s">
        <v>199</v>
      </c>
      <c r="E128" s="5" t="s">
        <v>199</v>
      </c>
      <c r="F128" s="5" t="s">
        <v>190</v>
      </c>
      <c r="G128" s="5" t="s">
        <v>106</v>
      </c>
      <c r="H128" s="5" t="s">
        <v>168</v>
      </c>
      <c r="I128" s="5"/>
      <c r="J128" s="5" t="s">
        <v>1157</v>
      </c>
      <c r="K128" s="5" t="s">
        <v>1158</v>
      </c>
      <c r="L128" s="5" t="s">
        <v>1151</v>
      </c>
      <c r="M128" s="5" t="s">
        <v>1152</v>
      </c>
      <c r="N128" s="5" t="s">
        <v>82</v>
      </c>
      <c r="O128" s="5" t="s">
        <v>1159</v>
      </c>
      <c r="P128" s="5" t="s">
        <v>1160</v>
      </c>
      <c r="Q128" s="5" t="s">
        <v>1161</v>
      </c>
      <c r="R128" s="5"/>
    </row>
    <row r="129" spans="1:18" ht="36" x14ac:dyDescent="0.25">
      <c r="A129" s="5" t="s">
        <v>1162</v>
      </c>
      <c r="B129" s="5" t="s">
        <v>1146</v>
      </c>
      <c r="C129" s="5" t="s">
        <v>1147</v>
      </c>
      <c r="D129" s="5" t="s">
        <v>206</v>
      </c>
      <c r="E129" s="5" t="s">
        <v>206</v>
      </c>
      <c r="F129" s="5" t="s">
        <v>190</v>
      </c>
      <c r="G129" s="5" t="s">
        <v>106</v>
      </c>
      <c r="H129" s="5" t="s">
        <v>168</v>
      </c>
      <c r="I129" s="5"/>
      <c r="J129" s="5" t="s">
        <v>1163</v>
      </c>
      <c r="K129" s="5" t="s">
        <v>1164</v>
      </c>
      <c r="L129" s="5" t="s">
        <v>1151</v>
      </c>
      <c r="M129" s="5" t="s">
        <v>1152</v>
      </c>
      <c r="N129" s="5" t="s">
        <v>82</v>
      </c>
      <c r="O129" s="5" t="s">
        <v>1165</v>
      </c>
      <c r="P129" s="5" t="s">
        <v>1166</v>
      </c>
      <c r="Q129" s="5" t="s">
        <v>1167</v>
      </c>
      <c r="R129" s="5"/>
    </row>
    <row r="130" spans="1:18" ht="36" x14ac:dyDescent="0.25">
      <c r="A130" s="5" t="s">
        <v>1168</v>
      </c>
      <c r="B130" s="5" t="s">
        <v>1146</v>
      </c>
      <c r="C130" s="5" t="s">
        <v>1147</v>
      </c>
      <c r="D130" s="5" t="s">
        <v>1169</v>
      </c>
      <c r="E130" s="5" t="s">
        <v>1170</v>
      </c>
      <c r="F130" s="5" t="s">
        <v>190</v>
      </c>
      <c r="G130" s="5" t="s">
        <v>106</v>
      </c>
      <c r="H130" s="5" t="s">
        <v>168</v>
      </c>
      <c r="I130" s="5"/>
      <c r="J130" s="5" t="s">
        <v>1171</v>
      </c>
      <c r="K130" s="5" t="s">
        <v>1172</v>
      </c>
      <c r="L130" s="5" t="s">
        <v>1151</v>
      </c>
      <c r="M130" s="5" t="s">
        <v>1152</v>
      </c>
      <c r="N130" s="5" t="s">
        <v>82</v>
      </c>
      <c r="O130" s="5" t="s">
        <v>1173</v>
      </c>
      <c r="P130" s="5" t="s">
        <v>1174</v>
      </c>
      <c r="Q130" s="5" t="s">
        <v>1175</v>
      </c>
      <c r="R130" s="5"/>
    </row>
    <row r="131" spans="1:18" ht="36" x14ac:dyDescent="0.25">
      <c r="A131" s="5" t="s">
        <v>1176</v>
      </c>
      <c r="B131" s="5" t="s">
        <v>1146</v>
      </c>
      <c r="C131" s="5" t="s">
        <v>1147</v>
      </c>
      <c r="D131" s="5" t="s">
        <v>1177</v>
      </c>
      <c r="E131" s="5" t="s">
        <v>1178</v>
      </c>
      <c r="F131" s="5" t="s">
        <v>190</v>
      </c>
      <c r="G131" s="5" t="s">
        <v>106</v>
      </c>
      <c r="H131" s="5" t="s">
        <v>168</v>
      </c>
      <c r="I131" s="5"/>
      <c r="J131" s="5" t="s">
        <v>1179</v>
      </c>
      <c r="K131" s="5" t="s">
        <v>1180</v>
      </c>
      <c r="L131" s="5" t="s">
        <v>1151</v>
      </c>
      <c r="M131" s="5" t="s">
        <v>1152</v>
      </c>
      <c r="N131" s="5" t="s">
        <v>82</v>
      </c>
      <c r="O131" s="5" t="s">
        <v>1181</v>
      </c>
      <c r="P131" s="5" t="s">
        <v>1182</v>
      </c>
      <c r="Q131" s="5" t="s">
        <v>1183</v>
      </c>
      <c r="R131" s="5"/>
    </row>
    <row r="132" spans="1:18" ht="36" x14ac:dyDescent="0.25">
      <c r="A132" s="5" t="s">
        <v>1184</v>
      </c>
      <c r="B132" s="5" t="s">
        <v>1146</v>
      </c>
      <c r="C132" s="5" t="s">
        <v>1147</v>
      </c>
      <c r="D132" s="5" t="s">
        <v>188</v>
      </c>
      <c r="E132" s="5" t="s">
        <v>188</v>
      </c>
      <c r="F132" s="5" t="s">
        <v>190</v>
      </c>
      <c r="G132" s="5" t="s">
        <v>106</v>
      </c>
      <c r="H132" s="5" t="s">
        <v>168</v>
      </c>
      <c r="I132" s="5"/>
      <c r="J132" s="5" t="s">
        <v>192</v>
      </c>
      <c r="K132" s="5" t="s">
        <v>193</v>
      </c>
      <c r="L132" s="5" t="s">
        <v>171</v>
      </c>
      <c r="M132" s="5" t="s">
        <v>172</v>
      </c>
      <c r="N132" s="5" t="s">
        <v>82</v>
      </c>
      <c r="O132" s="5" t="s">
        <v>1185</v>
      </c>
      <c r="P132" s="5" t="s">
        <v>195</v>
      </c>
      <c r="Q132" s="5" t="s">
        <v>196</v>
      </c>
      <c r="R132" s="5"/>
    </row>
    <row r="133" spans="1:18" ht="36" x14ac:dyDescent="0.25">
      <c r="A133" s="5" t="s">
        <v>1186</v>
      </c>
      <c r="B133" s="5" t="s">
        <v>1146</v>
      </c>
      <c r="C133" s="5" t="s">
        <v>1147</v>
      </c>
      <c r="D133" s="5" t="s">
        <v>223</v>
      </c>
      <c r="E133" s="5" t="s">
        <v>223</v>
      </c>
      <c r="F133" s="5" t="s">
        <v>190</v>
      </c>
      <c r="G133" s="5" t="s">
        <v>106</v>
      </c>
      <c r="H133" s="5" t="s">
        <v>168</v>
      </c>
      <c r="I133" s="5"/>
      <c r="J133" s="5" t="s">
        <v>225</v>
      </c>
      <c r="K133" s="5" t="s">
        <v>226</v>
      </c>
      <c r="L133" s="5" t="s">
        <v>171</v>
      </c>
      <c r="M133" s="5" t="s">
        <v>172</v>
      </c>
      <c r="N133" s="5" t="s">
        <v>82</v>
      </c>
      <c r="O133" s="5" t="s">
        <v>1187</v>
      </c>
      <c r="P133" s="5" t="s">
        <v>228</v>
      </c>
      <c r="Q133" s="5" t="s">
        <v>229</v>
      </c>
      <c r="R133" s="5"/>
    </row>
    <row r="134" spans="1:18" ht="36" x14ac:dyDescent="0.25">
      <c r="A134" s="5" t="s">
        <v>1188</v>
      </c>
      <c r="B134" s="5" t="s">
        <v>1146</v>
      </c>
      <c r="C134" s="5" t="s">
        <v>1147</v>
      </c>
      <c r="D134" s="5" t="s">
        <v>1189</v>
      </c>
      <c r="E134" s="5" t="s">
        <v>1189</v>
      </c>
      <c r="F134" s="5" t="s">
        <v>190</v>
      </c>
      <c r="G134" s="5" t="s">
        <v>106</v>
      </c>
      <c r="H134" s="5" t="s">
        <v>168</v>
      </c>
      <c r="I134" s="5"/>
      <c r="J134" s="5" t="s">
        <v>260</v>
      </c>
      <c r="K134" s="5" t="s">
        <v>261</v>
      </c>
      <c r="L134" s="5" t="s">
        <v>171</v>
      </c>
      <c r="M134" s="5" t="s">
        <v>172</v>
      </c>
      <c r="N134" s="5" t="s">
        <v>82</v>
      </c>
      <c r="O134" s="5" t="s">
        <v>1190</v>
      </c>
      <c r="P134" s="5" t="s">
        <v>263</v>
      </c>
      <c r="Q134" s="5" t="s">
        <v>264</v>
      </c>
      <c r="R134" s="5"/>
    </row>
    <row r="135" spans="1:18" ht="36" x14ac:dyDescent="0.25">
      <c r="A135" s="5" t="s">
        <v>1191</v>
      </c>
      <c r="B135" s="5" t="s">
        <v>1146</v>
      </c>
      <c r="C135" s="5" t="s">
        <v>1147</v>
      </c>
      <c r="D135" s="5" t="s">
        <v>214</v>
      </c>
      <c r="E135" s="5" t="s">
        <v>214</v>
      </c>
      <c r="F135" s="5" t="s">
        <v>190</v>
      </c>
      <c r="G135" s="5" t="s">
        <v>106</v>
      </c>
      <c r="H135" s="5" t="s">
        <v>168</v>
      </c>
      <c r="I135" s="5"/>
      <c r="J135" s="5" t="s">
        <v>216</v>
      </c>
      <c r="K135" s="5" t="s">
        <v>217</v>
      </c>
      <c r="L135" s="5" t="s">
        <v>171</v>
      </c>
      <c r="M135" s="5" t="s">
        <v>172</v>
      </c>
      <c r="N135" s="5" t="s">
        <v>82</v>
      </c>
      <c r="O135" s="5" t="s">
        <v>1192</v>
      </c>
      <c r="P135" s="5" t="s">
        <v>220</v>
      </c>
      <c r="Q135" s="5" t="s">
        <v>221</v>
      </c>
      <c r="R135" s="5"/>
    </row>
    <row r="136" spans="1:18" ht="36" x14ac:dyDescent="0.25">
      <c r="A136" s="5" t="s">
        <v>1193</v>
      </c>
      <c r="B136" s="5" t="s">
        <v>1146</v>
      </c>
      <c r="C136" s="5" t="s">
        <v>1147</v>
      </c>
      <c r="D136" s="5" t="s">
        <v>1194</v>
      </c>
      <c r="E136" s="5" t="s">
        <v>1194</v>
      </c>
      <c r="F136" s="5" t="s">
        <v>190</v>
      </c>
      <c r="G136" s="5" t="s">
        <v>106</v>
      </c>
      <c r="H136" s="5" t="s">
        <v>168</v>
      </c>
      <c r="I136" s="5"/>
      <c r="J136" s="5" t="s">
        <v>276</v>
      </c>
      <c r="K136" s="5" t="s">
        <v>277</v>
      </c>
      <c r="L136" s="5" t="s">
        <v>171</v>
      </c>
      <c r="M136" s="5" t="s">
        <v>172</v>
      </c>
      <c r="N136" s="5" t="s">
        <v>82</v>
      </c>
      <c r="O136" s="5" t="s">
        <v>1195</v>
      </c>
      <c r="P136" s="5" t="s">
        <v>279</v>
      </c>
      <c r="Q136" s="5" t="s">
        <v>280</v>
      </c>
      <c r="R136" s="5"/>
    </row>
    <row r="137" spans="1:18" ht="36" x14ac:dyDescent="0.25">
      <c r="A137" s="5" t="s">
        <v>1196</v>
      </c>
      <c r="B137" s="5" t="s">
        <v>1146</v>
      </c>
      <c r="C137" s="5" t="s">
        <v>1197</v>
      </c>
      <c r="D137" s="5" t="s">
        <v>1198</v>
      </c>
      <c r="E137" s="5" t="s">
        <v>243</v>
      </c>
      <c r="F137" s="5" t="s">
        <v>243</v>
      </c>
      <c r="G137" s="5" t="s">
        <v>106</v>
      </c>
      <c r="H137" s="5" t="s">
        <v>106</v>
      </c>
      <c r="I137" s="5" t="s">
        <v>1199</v>
      </c>
      <c r="J137" s="5" t="s">
        <v>106</v>
      </c>
      <c r="K137" s="5" t="s">
        <v>106</v>
      </c>
      <c r="L137" s="5" t="s">
        <v>1200</v>
      </c>
      <c r="M137" s="5" t="s">
        <v>1201</v>
      </c>
      <c r="N137" s="5" t="s">
        <v>106</v>
      </c>
      <c r="O137" s="5" t="s">
        <v>1202</v>
      </c>
      <c r="P137" s="5" t="s">
        <v>106</v>
      </c>
      <c r="Q137" s="5" t="s">
        <v>106</v>
      </c>
      <c r="R137" s="5"/>
    </row>
    <row r="138" spans="1:18" ht="36" x14ac:dyDescent="0.25">
      <c r="A138" s="5" t="s">
        <v>1203</v>
      </c>
      <c r="B138" s="5" t="s">
        <v>1146</v>
      </c>
      <c r="C138" s="5" t="s">
        <v>1204</v>
      </c>
      <c r="D138" s="5" t="s">
        <v>290</v>
      </c>
      <c r="E138" s="5" t="s">
        <v>1205</v>
      </c>
      <c r="F138" s="5" t="s">
        <v>342</v>
      </c>
      <c r="G138" s="5" t="s">
        <v>325</v>
      </c>
      <c r="H138" s="5" t="s">
        <v>1206</v>
      </c>
      <c r="I138" s="5" t="s">
        <v>1207</v>
      </c>
      <c r="J138" s="5" t="s">
        <v>1208</v>
      </c>
      <c r="K138" s="5" t="s">
        <v>1209</v>
      </c>
      <c r="L138" s="5" t="s">
        <v>1210</v>
      </c>
      <c r="M138" s="5" t="s">
        <v>1201</v>
      </c>
      <c r="N138" s="5" t="s">
        <v>82</v>
      </c>
      <c r="O138" s="5" t="s">
        <v>1211</v>
      </c>
      <c r="P138" s="5" t="s">
        <v>1212</v>
      </c>
      <c r="Q138" s="5" t="s">
        <v>1213</v>
      </c>
      <c r="R138" s="5"/>
    </row>
    <row r="139" spans="1:18" ht="36" x14ac:dyDescent="0.25">
      <c r="A139" s="5" t="s">
        <v>1214</v>
      </c>
      <c r="B139" s="5" t="s">
        <v>1146</v>
      </c>
      <c r="C139" s="5" t="s">
        <v>1204</v>
      </c>
      <c r="D139" s="5" t="s">
        <v>1215</v>
      </c>
      <c r="E139" s="5" t="s">
        <v>1205</v>
      </c>
      <c r="F139" s="5" t="s">
        <v>342</v>
      </c>
      <c r="G139" s="5" t="s">
        <v>325</v>
      </c>
      <c r="H139" s="5" t="s">
        <v>1206</v>
      </c>
      <c r="I139" s="5" t="s">
        <v>435</v>
      </c>
      <c r="J139" s="5" t="s">
        <v>1216</v>
      </c>
      <c r="K139" s="5" t="s">
        <v>1217</v>
      </c>
      <c r="L139" s="5" t="s">
        <v>1210</v>
      </c>
      <c r="M139" s="5" t="s">
        <v>1201</v>
      </c>
      <c r="N139" s="5" t="s">
        <v>82</v>
      </c>
      <c r="O139" s="5" t="s">
        <v>1218</v>
      </c>
      <c r="P139" s="5" t="s">
        <v>1219</v>
      </c>
      <c r="Q139" s="5" t="s">
        <v>1220</v>
      </c>
      <c r="R139" s="5"/>
    </row>
    <row r="140" spans="1:18" ht="36" x14ac:dyDescent="0.25">
      <c r="A140" s="5" t="s">
        <v>1221</v>
      </c>
      <c r="B140" s="5" t="s">
        <v>1146</v>
      </c>
      <c r="C140" s="5" t="s">
        <v>1204</v>
      </c>
      <c r="D140" s="5" t="s">
        <v>1222</v>
      </c>
      <c r="E140" s="5" t="s">
        <v>1205</v>
      </c>
      <c r="F140" s="5" t="s">
        <v>342</v>
      </c>
      <c r="G140" s="5" t="s">
        <v>325</v>
      </c>
      <c r="H140" s="5" t="s">
        <v>1206</v>
      </c>
      <c r="I140" s="5" t="s">
        <v>1223</v>
      </c>
      <c r="J140" s="5" t="s">
        <v>1224</v>
      </c>
      <c r="K140" s="5" t="s">
        <v>1225</v>
      </c>
      <c r="L140" s="5" t="s">
        <v>1210</v>
      </c>
      <c r="M140" s="5" t="s">
        <v>1201</v>
      </c>
      <c r="N140" s="5" t="s">
        <v>82</v>
      </c>
      <c r="O140" s="5" t="s">
        <v>1226</v>
      </c>
      <c r="P140" s="5" t="s">
        <v>1227</v>
      </c>
      <c r="Q140" s="5" t="s">
        <v>1228</v>
      </c>
      <c r="R140" s="5"/>
    </row>
    <row r="141" spans="1:18" ht="36" x14ac:dyDescent="0.25">
      <c r="A141" s="5" t="s">
        <v>1229</v>
      </c>
      <c r="B141" s="5" t="s">
        <v>1146</v>
      </c>
      <c r="C141" s="5" t="s">
        <v>1204</v>
      </c>
      <c r="D141" s="5" t="s">
        <v>1230</v>
      </c>
      <c r="E141" s="5" t="s">
        <v>1205</v>
      </c>
      <c r="F141" s="5" t="s">
        <v>342</v>
      </c>
      <c r="G141" s="5" t="s">
        <v>325</v>
      </c>
      <c r="H141" s="5" t="s">
        <v>1206</v>
      </c>
      <c r="I141" s="5" t="s">
        <v>435</v>
      </c>
      <c r="J141" s="5" t="s">
        <v>1231</v>
      </c>
      <c r="K141" s="5" t="s">
        <v>1232</v>
      </c>
      <c r="L141" s="5" t="s">
        <v>1210</v>
      </c>
      <c r="M141" s="5" t="s">
        <v>1201</v>
      </c>
      <c r="N141" s="5" t="s">
        <v>82</v>
      </c>
      <c r="O141" s="5" t="s">
        <v>1233</v>
      </c>
      <c r="P141" s="5" t="s">
        <v>1234</v>
      </c>
      <c r="Q141" s="5" t="s">
        <v>1235</v>
      </c>
      <c r="R141" s="5"/>
    </row>
    <row r="142" spans="1:18" ht="36" x14ac:dyDescent="0.25">
      <c r="A142" s="5" t="s">
        <v>1236</v>
      </c>
      <c r="B142" s="5" t="s">
        <v>1146</v>
      </c>
      <c r="C142" s="5" t="s">
        <v>1204</v>
      </c>
      <c r="D142" s="5" t="s">
        <v>1237</v>
      </c>
      <c r="E142" s="5" t="s">
        <v>1205</v>
      </c>
      <c r="F142" s="5" t="s">
        <v>342</v>
      </c>
      <c r="G142" s="5" t="s">
        <v>325</v>
      </c>
      <c r="H142" s="5" t="s">
        <v>1206</v>
      </c>
      <c r="I142" s="5" t="s">
        <v>435</v>
      </c>
      <c r="J142" s="5" t="s">
        <v>1238</v>
      </c>
      <c r="K142" s="5" t="s">
        <v>1239</v>
      </c>
      <c r="L142" s="5" t="s">
        <v>1210</v>
      </c>
      <c r="M142" s="5" t="s">
        <v>1201</v>
      </c>
      <c r="N142" s="5" t="s">
        <v>82</v>
      </c>
      <c r="O142" s="5" t="s">
        <v>1240</v>
      </c>
      <c r="P142" s="5" t="s">
        <v>1241</v>
      </c>
      <c r="Q142" s="5" t="s">
        <v>1242</v>
      </c>
      <c r="R142" s="5"/>
    </row>
    <row r="143" spans="1:18" ht="36" x14ac:dyDescent="0.25">
      <c r="A143" s="5" t="s">
        <v>1243</v>
      </c>
      <c r="B143" s="5" t="s">
        <v>1146</v>
      </c>
      <c r="C143" s="5" t="s">
        <v>1204</v>
      </c>
      <c r="D143" s="5" t="s">
        <v>1244</v>
      </c>
      <c r="E143" s="5" t="s">
        <v>1205</v>
      </c>
      <c r="F143" s="5" t="s">
        <v>342</v>
      </c>
      <c r="G143" s="5" t="s">
        <v>325</v>
      </c>
      <c r="H143" s="5" t="s">
        <v>1206</v>
      </c>
      <c r="I143" s="5" t="s">
        <v>435</v>
      </c>
      <c r="J143" s="5" t="s">
        <v>1245</v>
      </c>
      <c r="K143" s="5" t="s">
        <v>1246</v>
      </c>
      <c r="L143" s="5" t="s">
        <v>1210</v>
      </c>
      <c r="M143" s="5" t="s">
        <v>1201</v>
      </c>
      <c r="N143" s="5" t="s">
        <v>82</v>
      </c>
      <c r="O143" s="5" t="s">
        <v>1247</v>
      </c>
      <c r="P143" s="5" t="s">
        <v>1248</v>
      </c>
      <c r="Q143" s="5" t="s">
        <v>1249</v>
      </c>
      <c r="R143" s="5"/>
    </row>
    <row r="144" spans="1:18" ht="36" x14ac:dyDescent="0.25">
      <c r="A144" s="5" t="s">
        <v>1250</v>
      </c>
      <c r="B144" s="5" t="s">
        <v>1146</v>
      </c>
      <c r="C144" s="5" t="s">
        <v>1204</v>
      </c>
      <c r="D144" s="5" t="s">
        <v>1251</v>
      </c>
      <c r="E144" s="5" t="s">
        <v>1205</v>
      </c>
      <c r="F144" s="5" t="s">
        <v>342</v>
      </c>
      <c r="G144" s="5" t="s">
        <v>325</v>
      </c>
      <c r="H144" s="5" t="s">
        <v>1206</v>
      </c>
      <c r="I144" s="5" t="s">
        <v>435</v>
      </c>
      <c r="J144" s="5" t="s">
        <v>1252</v>
      </c>
      <c r="K144" s="5" t="s">
        <v>1253</v>
      </c>
      <c r="L144" s="5" t="s">
        <v>1210</v>
      </c>
      <c r="M144" s="5" t="s">
        <v>1201</v>
      </c>
      <c r="N144" s="5" t="s">
        <v>82</v>
      </c>
      <c r="O144" s="5" t="s">
        <v>1254</v>
      </c>
      <c r="P144" s="5" t="s">
        <v>1255</v>
      </c>
      <c r="Q144" s="5" t="s">
        <v>1256</v>
      </c>
      <c r="R144" s="5"/>
    </row>
    <row r="145" spans="1:18" ht="36" x14ac:dyDescent="0.25">
      <c r="A145" s="5" t="s">
        <v>1257</v>
      </c>
      <c r="B145" s="5" t="s">
        <v>1146</v>
      </c>
      <c r="C145" s="5" t="s">
        <v>1258</v>
      </c>
      <c r="D145" s="5" t="s">
        <v>1259</v>
      </c>
      <c r="E145" s="5" t="s">
        <v>1205</v>
      </c>
      <c r="F145" s="5" t="s">
        <v>342</v>
      </c>
      <c r="G145" s="5" t="s">
        <v>325</v>
      </c>
      <c r="H145" s="5" t="s">
        <v>1206</v>
      </c>
      <c r="I145" s="5" t="s">
        <v>435</v>
      </c>
      <c r="J145" s="5" t="s">
        <v>1260</v>
      </c>
      <c r="K145" s="5" t="s">
        <v>1261</v>
      </c>
      <c r="L145" s="5" t="s">
        <v>1210</v>
      </c>
      <c r="M145" s="5" t="s">
        <v>1201</v>
      </c>
      <c r="N145" s="5" t="s">
        <v>82</v>
      </c>
      <c r="O145" s="5" t="s">
        <v>1262</v>
      </c>
      <c r="P145" s="5" t="s">
        <v>1263</v>
      </c>
      <c r="Q145" s="5" t="s">
        <v>1264</v>
      </c>
      <c r="R145" s="5"/>
    </row>
    <row r="146" spans="1:18" ht="36" x14ac:dyDescent="0.25">
      <c r="A146" s="5" t="s">
        <v>1265</v>
      </c>
      <c r="B146" s="5" t="s">
        <v>1146</v>
      </c>
      <c r="C146" s="5" t="s">
        <v>1258</v>
      </c>
      <c r="D146" s="5" t="s">
        <v>1266</v>
      </c>
      <c r="E146" s="5" t="s">
        <v>1205</v>
      </c>
      <c r="F146" s="5" t="s">
        <v>342</v>
      </c>
      <c r="G146" s="5" t="s">
        <v>325</v>
      </c>
      <c r="H146" s="5" t="s">
        <v>1206</v>
      </c>
      <c r="I146" s="5" t="s">
        <v>667</v>
      </c>
      <c r="J146" s="5" t="s">
        <v>1267</v>
      </c>
      <c r="K146" s="5" t="s">
        <v>1268</v>
      </c>
      <c r="L146" s="5" t="s">
        <v>1210</v>
      </c>
      <c r="M146" s="5" t="s">
        <v>1201</v>
      </c>
      <c r="N146" s="5" t="s">
        <v>82</v>
      </c>
      <c r="O146" s="5" t="s">
        <v>1269</v>
      </c>
      <c r="P146" s="5" t="s">
        <v>1270</v>
      </c>
      <c r="Q146" s="5" t="s">
        <v>1271</v>
      </c>
      <c r="R146" s="5"/>
    </row>
    <row r="147" spans="1:18" ht="36" x14ac:dyDescent="0.25">
      <c r="A147" s="5" t="s">
        <v>1272</v>
      </c>
      <c r="B147" s="5" t="s">
        <v>1146</v>
      </c>
      <c r="C147" s="5" t="s">
        <v>1258</v>
      </c>
      <c r="D147" s="5" t="s">
        <v>1273</v>
      </c>
      <c r="E147" s="5" t="s">
        <v>1205</v>
      </c>
      <c r="F147" s="5" t="s">
        <v>342</v>
      </c>
      <c r="G147" s="5" t="s">
        <v>325</v>
      </c>
      <c r="H147" s="5" t="s">
        <v>1206</v>
      </c>
      <c r="I147" s="5" t="s">
        <v>667</v>
      </c>
      <c r="J147" s="5" t="s">
        <v>1274</v>
      </c>
      <c r="K147" s="5" t="s">
        <v>1275</v>
      </c>
      <c r="L147" s="5" t="s">
        <v>1210</v>
      </c>
      <c r="M147" s="5" t="s">
        <v>1201</v>
      </c>
      <c r="N147" s="5" t="s">
        <v>82</v>
      </c>
      <c r="O147" s="5" t="s">
        <v>1276</v>
      </c>
      <c r="P147" s="5" t="s">
        <v>1277</v>
      </c>
      <c r="Q147" s="5" t="s">
        <v>1278</v>
      </c>
      <c r="R147" s="5"/>
    </row>
    <row r="148" spans="1:18" ht="36" x14ac:dyDescent="0.25">
      <c r="A148" s="5" t="s">
        <v>1279</v>
      </c>
      <c r="B148" s="5" t="s">
        <v>1146</v>
      </c>
      <c r="C148" s="5" t="s">
        <v>1258</v>
      </c>
      <c r="D148" s="5" t="s">
        <v>1280</v>
      </c>
      <c r="E148" s="5" t="s">
        <v>1205</v>
      </c>
      <c r="F148" s="5" t="s">
        <v>342</v>
      </c>
      <c r="G148" s="5" t="s">
        <v>325</v>
      </c>
      <c r="H148" s="5" t="s">
        <v>1206</v>
      </c>
      <c r="I148" s="5" t="s">
        <v>667</v>
      </c>
      <c r="J148" s="5" t="s">
        <v>1281</v>
      </c>
      <c r="K148" s="5" t="s">
        <v>1282</v>
      </c>
      <c r="L148" s="5" t="s">
        <v>1210</v>
      </c>
      <c r="M148" s="5" t="s">
        <v>1201</v>
      </c>
      <c r="N148" s="5" t="s">
        <v>82</v>
      </c>
      <c r="O148" s="5" t="s">
        <v>1283</v>
      </c>
      <c r="P148" s="5" t="s">
        <v>1284</v>
      </c>
      <c r="Q148" s="5" t="s">
        <v>1285</v>
      </c>
      <c r="R148" s="5"/>
    </row>
    <row r="149" spans="1:18" ht="36" x14ac:dyDescent="0.25">
      <c r="A149" s="5" t="s">
        <v>1286</v>
      </c>
      <c r="B149" s="5" t="s">
        <v>1146</v>
      </c>
      <c r="C149" s="5" t="s">
        <v>1258</v>
      </c>
      <c r="D149" s="5" t="s">
        <v>1287</v>
      </c>
      <c r="E149" s="5" t="s">
        <v>1205</v>
      </c>
      <c r="F149" s="5" t="s">
        <v>342</v>
      </c>
      <c r="G149" s="5" t="s">
        <v>325</v>
      </c>
      <c r="H149" s="5" t="s">
        <v>1206</v>
      </c>
      <c r="I149" s="5" t="s">
        <v>667</v>
      </c>
      <c r="J149" s="5" t="s">
        <v>1288</v>
      </c>
      <c r="K149" s="5" t="s">
        <v>1289</v>
      </c>
      <c r="L149" s="5" t="s">
        <v>1210</v>
      </c>
      <c r="M149" s="5" t="s">
        <v>1201</v>
      </c>
      <c r="N149" s="5" t="s">
        <v>82</v>
      </c>
      <c r="O149" s="5" t="s">
        <v>1290</v>
      </c>
      <c r="P149" s="5" t="s">
        <v>1291</v>
      </c>
      <c r="Q149" s="5" t="s">
        <v>1292</v>
      </c>
      <c r="R149" s="5"/>
    </row>
    <row r="150" spans="1:18" ht="36" x14ac:dyDescent="0.25">
      <c r="A150" s="5" t="s">
        <v>1293</v>
      </c>
      <c r="B150" s="5" t="s">
        <v>1146</v>
      </c>
      <c r="C150" s="5" t="s">
        <v>1258</v>
      </c>
      <c r="D150" s="5" t="s">
        <v>1294</v>
      </c>
      <c r="E150" s="5" t="s">
        <v>1205</v>
      </c>
      <c r="F150" s="5" t="s">
        <v>342</v>
      </c>
      <c r="G150" s="5" t="s">
        <v>325</v>
      </c>
      <c r="H150" s="5" t="s">
        <v>1206</v>
      </c>
      <c r="I150" s="5" t="s">
        <v>435</v>
      </c>
      <c r="J150" s="5" t="s">
        <v>1295</v>
      </c>
      <c r="K150" s="5" t="s">
        <v>1296</v>
      </c>
      <c r="L150" s="5" t="s">
        <v>1210</v>
      </c>
      <c r="M150" s="5" t="s">
        <v>1201</v>
      </c>
      <c r="N150" s="5" t="s">
        <v>82</v>
      </c>
      <c r="O150" s="5" t="s">
        <v>1297</v>
      </c>
      <c r="P150" s="5" t="s">
        <v>1298</v>
      </c>
      <c r="Q150" s="5" t="s">
        <v>1299</v>
      </c>
      <c r="R150" s="5"/>
    </row>
    <row r="151" spans="1:18" ht="36" x14ac:dyDescent="0.25">
      <c r="A151" s="5" t="s">
        <v>1300</v>
      </c>
      <c r="B151" s="5" t="s">
        <v>1146</v>
      </c>
      <c r="C151" s="5" t="s">
        <v>1258</v>
      </c>
      <c r="D151" s="5" t="s">
        <v>1301</v>
      </c>
      <c r="E151" s="5" t="s">
        <v>1205</v>
      </c>
      <c r="F151" s="5" t="s">
        <v>434</v>
      </c>
      <c r="G151" s="5" t="s">
        <v>325</v>
      </c>
      <c r="H151" s="5" t="s">
        <v>1206</v>
      </c>
      <c r="I151" s="5" t="s">
        <v>343</v>
      </c>
      <c r="J151" s="5" t="s">
        <v>1302</v>
      </c>
      <c r="K151" s="5" t="s">
        <v>1303</v>
      </c>
      <c r="L151" s="5" t="s">
        <v>1210</v>
      </c>
      <c r="M151" s="5" t="s">
        <v>1201</v>
      </c>
      <c r="N151" s="5" t="s">
        <v>82</v>
      </c>
      <c r="O151" s="5" t="s">
        <v>1304</v>
      </c>
      <c r="P151" s="5" t="s">
        <v>1305</v>
      </c>
      <c r="Q151" s="5" t="s">
        <v>1306</v>
      </c>
      <c r="R151" s="5"/>
    </row>
    <row r="152" spans="1:18" ht="36" x14ac:dyDescent="0.25">
      <c r="A152" s="5" t="s">
        <v>1307</v>
      </c>
      <c r="B152" s="5" t="s">
        <v>1146</v>
      </c>
      <c r="C152" s="5" t="s">
        <v>1258</v>
      </c>
      <c r="D152" s="5" t="s">
        <v>814</v>
      </c>
      <c r="E152" s="5" t="s">
        <v>1205</v>
      </c>
      <c r="F152" s="5" t="s">
        <v>751</v>
      </c>
      <c r="G152" s="5" t="s">
        <v>325</v>
      </c>
      <c r="H152" s="5" t="s">
        <v>1206</v>
      </c>
      <c r="I152" s="5" t="s">
        <v>761</v>
      </c>
      <c r="J152" s="5" t="s">
        <v>1308</v>
      </c>
      <c r="K152" s="5" t="s">
        <v>1309</v>
      </c>
      <c r="L152" s="5" t="s">
        <v>1210</v>
      </c>
      <c r="M152" s="5" t="s">
        <v>1201</v>
      </c>
      <c r="N152" s="5" t="s">
        <v>82</v>
      </c>
      <c r="O152" s="5" t="s">
        <v>1310</v>
      </c>
      <c r="P152" s="5" t="s">
        <v>1311</v>
      </c>
      <c r="Q152" s="5" t="s">
        <v>1312</v>
      </c>
      <c r="R152" s="5"/>
    </row>
    <row r="153" spans="1:18" ht="36" x14ac:dyDescent="0.25">
      <c r="A153" s="5" t="s">
        <v>1313</v>
      </c>
      <c r="B153" s="5" t="s">
        <v>1146</v>
      </c>
      <c r="C153" s="5" t="s">
        <v>1258</v>
      </c>
      <c r="D153" s="5" t="s">
        <v>804</v>
      </c>
      <c r="E153" s="5" t="s">
        <v>1205</v>
      </c>
      <c r="F153" s="5" t="s">
        <v>751</v>
      </c>
      <c r="G153" s="5" t="s">
        <v>325</v>
      </c>
      <c r="H153" s="5" t="s">
        <v>1206</v>
      </c>
      <c r="I153" s="5" t="s">
        <v>1314</v>
      </c>
      <c r="J153" s="5" t="s">
        <v>1315</v>
      </c>
      <c r="K153" s="5" t="s">
        <v>1316</v>
      </c>
      <c r="L153" s="5" t="s">
        <v>1210</v>
      </c>
      <c r="M153" s="5" t="s">
        <v>1201</v>
      </c>
      <c r="N153" s="5" t="s">
        <v>82</v>
      </c>
      <c r="O153" s="5" t="s">
        <v>1317</v>
      </c>
      <c r="P153" s="5" t="s">
        <v>1318</v>
      </c>
      <c r="Q153" s="5" t="s">
        <v>1319</v>
      </c>
      <c r="R153" s="5"/>
    </row>
    <row r="154" spans="1:18" ht="36" x14ac:dyDescent="0.25">
      <c r="A154" s="5" t="s">
        <v>1320</v>
      </c>
      <c r="B154" s="5" t="s">
        <v>1146</v>
      </c>
      <c r="C154" s="5" t="s">
        <v>1258</v>
      </c>
      <c r="D154" s="5" t="s">
        <v>1321</v>
      </c>
      <c r="E154" s="5" t="s">
        <v>1205</v>
      </c>
      <c r="F154" s="5" t="s">
        <v>751</v>
      </c>
      <c r="G154" s="5" t="s">
        <v>325</v>
      </c>
      <c r="H154" s="5" t="s">
        <v>1206</v>
      </c>
      <c r="I154" s="5" t="s">
        <v>761</v>
      </c>
      <c r="J154" s="5" t="s">
        <v>1322</v>
      </c>
      <c r="K154" s="5" t="s">
        <v>1323</v>
      </c>
      <c r="L154" s="5" t="s">
        <v>1210</v>
      </c>
      <c r="M154" s="5" t="s">
        <v>1201</v>
      </c>
      <c r="N154" s="5" t="s">
        <v>82</v>
      </c>
      <c r="O154" s="5" t="s">
        <v>1324</v>
      </c>
      <c r="P154" s="5" t="s">
        <v>1325</v>
      </c>
      <c r="Q154" s="5" t="s">
        <v>1326</v>
      </c>
      <c r="R154" s="5"/>
    </row>
    <row r="155" spans="1:18" ht="36" x14ac:dyDescent="0.25">
      <c r="A155" s="5" t="s">
        <v>1327</v>
      </c>
      <c r="B155" s="5" t="s">
        <v>1146</v>
      </c>
      <c r="C155" s="5" t="s">
        <v>1258</v>
      </c>
      <c r="D155" s="5" t="s">
        <v>1328</v>
      </c>
      <c r="E155" s="5" t="s">
        <v>1205</v>
      </c>
      <c r="F155" s="5" t="s">
        <v>751</v>
      </c>
      <c r="G155" s="5" t="s">
        <v>325</v>
      </c>
      <c r="H155" s="5" t="s">
        <v>1206</v>
      </c>
      <c r="I155" s="5" t="s">
        <v>770</v>
      </c>
      <c r="J155" s="5" t="s">
        <v>1329</v>
      </c>
      <c r="K155" s="5" t="s">
        <v>1330</v>
      </c>
      <c r="L155" s="5" t="s">
        <v>1210</v>
      </c>
      <c r="M155" s="5" t="s">
        <v>1201</v>
      </c>
      <c r="N155" s="5" t="s">
        <v>82</v>
      </c>
      <c r="O155" s="5" t="s">
        <v>1331</v>
      </c>
      <c r="P155" s="5" t="s">
        <v>1332</v>
      </c>
      <c r="Q155" s="5" t="s">
        <v>1333</v>
      </c>
      <c r="R155" s="5"/>
    </row>
    <row r="156" spans="1:18" ht="36" x14ac:dyDescent="0.25">
      <c r="A156" s="5" t="s">
        <v>1334</v>
      </c>
      <c r="B156" s="5" t="s">
        <v>1146</v>
      </c>
      <c r="C156" s="5" t="s">
        <v>1258</v>
      </c>
      <c r="D156" s="5" t="s">
        <v>1335</v>
      </c>
      <c r="E156" s="5" t="s">
        <v>1205</v>
      </c>
      <c r="F156" s="5" t="s">
        <v>751</v>
      </c>
      <c r="G156" s="5" t="s">
        <v>325</v>
      </c>
      <c r="H156" s="5" t="s">
        <v>1206</v>
      </c>
      <c r="I156" s="5" t="s">
        <v>1336</v>
      </c>
      <c r="J156" s="5" t="s">
        <v>1337</v>
      </c>
      <c r="K156" s="5" t="s">
        <v>1338</v>
      </c>
      <c r="L156" s="5" t="s">
        <v>1210</v>
      </c>
      <c r="M156" s="5" t="s">
        <v>1201</v>
      </c>
      <c r="N156" s="5" t="s">
        <v>82</v>
      </c>
      <c r="O156" s="5" t="s">
        <v>1339</v>
      </c>
      <c r="P156" s="5" t="s">
        <v>1340</v>
      </c>
      <c r="Q156" s="5" t="s">
        <v>1341</v>
      </c>
      <c r="R156" s="5"/>
    </row>
    <row r="157" spans="1:18" ht="36" x14ac:dyDescent="0.25">
      <c r="A157" s="5" t="s">
        <v>1342</v>
      </c>
      <c r="B157" s="5" t="s">
        <v>1146</v>
      </c>
      <c r="C157" s="5" t="s">
        <v>1258</v>
      </c>
      <c r="D157" s="5" t="s">
        <v>1343</v>
      </c>
      <c r="E157" s="5" t="s">
        <v>1205</v>
      </c>
      <c r="F157" s="5" t="s">
        <v>751</v>
      </c>
      <c r="G157" s="5" t="s">
        <v>325</v>
      </c>
      <c r="H157" s="5" t="s">
        <v>1206</v>
      </c>
      <c r="I157" s="5" t="s">
        <v>797</v>
      </c>
      <c r="J157" s="5" t="s">
        <v>1344</v>
      </c>
      <c r="K157" s="5" t="s">
        <v>1345</v>
      </c>
      <c r="L157" s="5" t="s">
        <v>1210</v>
      </c>
      <c r="M157" s="5" t="s">
        <v>1201</v>
      </c>
      <c r="N157" s="5" t="s">
        <v>82</v>
      </c>
      <c r="O157" s="5" t="s">
        <v>1346</v>
      </c>
      <c r="P157" s="5" t="s">
        <v>1347</v>
      </c>
      <c r="Q157" s="5" t="s">
        <v>1348</v>
      </c>
      <c r="R157" s="5"/>
    </row>
    <row r="158" spans="1:18" ht="36" x14ac:dyDescent="0.25">
      <c r="A158" s="5" t="s">
        <v>1349</v>
      </c>
      <c r="B158" s="5" t="s">
        <v>1146</v>
      </c>
      <c r="C158" s="5" t="s">
        <v>1258</v>
      </c>
      <c r="D158" s="5" t="s">
        <v>1350</v>
      </c>
      <c r="E158" s="5" t="s">
        <v>1205</v>
      </c>
      <c r="F158" s="5" t="s">
        <v>434</v>
      </c>
      <c r="G158" s="5" t="s">
        <v>325</v>
      </c>
      <c r="H158" s="5" t="s">
        <v>1206</v>
      </c>
      <c r="I158" s="5" t="s">
        <v>1351</v>
      </c>
      <c r="J158" s="5" t="s">
        <v>1352</v>
      </c>
      <c r="K158" s="5" t="s">
        <v>1353</v>
      </c>
      <c r="L158" s="5" t="s">
        <v>1210</v>
      </c>
      <c r="M158" s="5" t="s">
        <v>1201</v>
      </c>
      <c r="N158" s="5" t="s">
        <v>82</v>
      </c>
      <c r="O158" s="5" t="s">
        <v>1354</v>
      </c>
      <c r="P158" s="5" t="s">
        <v>1355</v>
      </c>
      <c r="Q158" s="5" t="s">
        <v>1356</v>
      </c>
      <c r="R158" s="5"/>
    </row>
    <row r="159" spans="1:18" ht="36" x14ac:dyDescent="0.25">
      <c r="A159" s="5" t="s">
        <v>1357</v>
      </c>
      <c r="B159" s="5" t="s">
        <v>1146</v>
      </c>
      <c r="C159" s="5" t="s">
        <v>1358</v>
      </c>
      <c r="D159" s="5" t="s">
        <v>1359</v>
      </c>
      <c r="E159" s="5" t="s">
        <v>1205</v>
      </c>
      <c r="F159" s="5" t="s">
        <v>342</v>
      </c>
      <c r="G159" s="5" t="s">
        <v>325</v>
      </c>
      <c r="H159" s="5" t="s">
        <v>1206</v>
      </c>
      <c r="I159" s="5" t="s">
        <v>1223</v>
      </c>
      <c r="J159" s="5" t="s">
        <v>1360</v>
      </c>
      <c r="K159" s="5" t="s">
        <v>1361</v>
      </c>
      <c r="L159" s="5" t="s">
        <v>1210</v>
      </c>
      <c r="M159" s="5" t="s">
        <v>1201</v>
      </c>
      <c r="N159" s="5" t="s">
        <v>82</v>
      </c>
      <c r="O159" s="5" t="s">
        <v>1362</v>
      </c>
      <c r="P159" s="5" t="s">
        <v>1363</v>
      </c>
      <c r="Q159" s="5" t="s">
        <v>1364</v>
      </c>
      <c r="R159" s="5"/>
    </row>
    <row r="160" spans="1:18" ht="36" x14ac:dyDescent="0.25">
      <c r="A160" s="5" t="s">
        <v>1365</v>
      </c>
      <c r="B160" s="5" t="s">
        <v>1146</v>
      </c>
      <c r="C160" s="5" t="s">
        <v>1366</v>
      </c>
      <c r="D160" s="5" t="s">
        <v>1367</v>
      </c>
      <c r="E160" s="5" t="s">
        <v>1205</v>
      </c>
      <c r="F160" s="5" t="s">
        <v>434</v>
      </c>
      <c r="G160" s="5" t="s">
        <v>325</v>
      </c>
      <c r="H160" s="5" t="s">
        <v>1206</v>
      </c>
      <c r="I160" s="5" t="s">
        <v>343</v>
      </c>
      <c r="J160" s="5" t="s">
        <v>1368</v>
      </c>
      <c r="K160" s="5" t="s">
        <v>1369</v>
      </c>
      <c r="L160" s="5" t="s">
        <v>1210</v>
      </c>
      <c r="M160" s="5" t="s">
        <v>1201</v>
      </c>
      <c r="N160" s="5" t="s">
        <v>82</v>
      </c>
      <c r="O160" s="5" t="s">
        <v>1370</v>
      </c>
      <c r="P160" s="5" t="s">
        <v>1371</v>
      </c>
      <c r="Q160" s="5" t="s">
        <v>1372</v>
      </c>
      <c r="R160" s="5"/>
    </row>
    <row r="161" spans="1:18" ht="36" x14ac:dyDescent="0.25">
      <c r="A161" s="5" t="s">
        <v>1373</v>
      </c>
      <c r="B161" s="5" t="s">
        <v>1146</v>
      </c>
      <c r="C161" s="5" t="s">
        <v>1366</v>
      </c>
      <c r="D161" s="5" t="s">
        <v>1374</v>
      </c>
      <c r="E161" s="5" t="s">
        <v>1205</v>
      </c>
      <c r="F161" s="5" t="s">
        <v>423</v>
      </c>
      <c r="G161" s="5" t="s">
        <v>325</v>
      </c>
      <c r="H161" s="5" t="s">
        <v>1206</v>
      </c>
      <c r="I161" s="5" t="s">
        <v>1375</v>
      </c>
      <c r="J161" s="5" t="s">
        <v>1376</v>
      </c>
      <c r="K161" s="5" t="s">
        <v>1377</v>
      </c>
      <c r="L161" s="5" t="s">
        <v>1210</v>
      </c>
      <c r="M161" s="5" t="s">
        <v>1201</v>
      </c>
      <c r="N161" s="5" t="s">
        <v>82</v>
      </c>
      <c r="O161" s="5" t="s">
        <v>1378</v>
      </c>
      <c r="P161" s="5" t="s">
        <v>1379</v>
      </c>
      <c r="Q161" s="5" t="s">
        <v>1380</v>
      </c>
      <c r="R161" s="5"/>
    </row>
    <row r="162" spans="1:18" ht="36" x14ac:dyDescent="0.25">
      <c r="A162" s="5" t="s">
        <v>1381</v>
      </c>
      <c r="B162" s="5" t="s">
        <v>1146</v>
      </c>
      <c r="C162" s="5" t="s">
        <v>1366</v>
      </c>
      <c r="D162" s="5" t="s">
        <v>1382</v>
      </c>
      <c r="E162" s="5" t="s">
        <v>1205</v>
      </c>
      <c r="F162" s="5" t="s">
        <v>434</v>
      </c>
      <c r="G162" s="5" t="s">
        <v>325</v>
      </c>
      <c r="H162" s="5" t="s">
        <v>1206</v>
      </c>
      <c r="I162" s="5" t="s">
        <v>1383</v>
      </c>
      <c r="J162" s="5" t="s">
        <v>1384</v>
      </c>
      <c r="K162" s="5" t="s">
        <v>1385</v>
      </c>
      <c r="L162" s="5" t="s">
        <v>1210</v>
      </c>
      <c r="M162" s="5" t="s">
        <v>1201</v>
      </c>
      <c r="N162" s="5" t="s">
        <v>82</v>
      </c>
      <c r="O162" s="5" t="s">
        <v>1386</v>
      </c>
      <c r="P162" s="5" t="s">
        <v>1387</v>
      </c>
      <c r="Q162" s="5" t="s">
        <v>1388</v>
      </c>
      <c r="R162" s="5"/>
    </row>
    <row r="163" spans="1:18" ht="36" x14ac:dyDescent="0.25">
      <c r="A163" s="5" t="s">
        <v>1389</v>
      </c>
      <c r="B163" s="5" t="s">
        <v>1146</v>
      </c>
      <c r="C163" s="5" t="s">
        <v>1366</v>
      </c>
      <c r="D163" s="5" t="s">
        <v>1390</v>
      </c>
      <c r="E163" s="5" t="s">
        <v>1205</v>
      </c>
      <c r="F163" s="5" t="s">
        <v>434</v>
      </c>
      <c r="G163" s="5" t="s">
        <v>325</v>
      </c>
      <c r="H163" s="5" t="s">
        <v>1206</v>
      </c>
      <c r="I163" s="5" t="s">
        <v>1391</v>
      </c>
      <c r="J163" s="5" t="s">
        <v>1392</v>
      </c>
      <c r="K163" s="5" t="s">
        <v>1393</v>
      </c>
      <c r="L163" s="5" t="s">
        <v>1210</v>
      </c>
      <c r="M163" s="5" t="s">
        <v>1201</v>
      </c>
      <c r="N163" s="5" t="s">
        <v>82</v>
      </c>
      <c r="O163" s="5" t="s">
        <v>1394</v>
      </c>
      <c r="P163" s="5" t="s">
        <v>1395</v>
      </c>
      <c r="Q163" s="5" t="s">
        <v>1396</v>
      </c>
      <c r="R163" s="5"/>
    </row>
    <row r="164" spans="1:18" ht="36" x14ac:dyDescent="0.25">
      <c r="A164" s="5" t="s">
        <v>1397</v>
      </c>
      <c r="B164" s="5" t="s">
        <v>1146</v>
      </c>
      <c r="C164" s="5" t="s">
        <v>1366</v>
      </c>
      <c r="D164" s="5" t="s">
        <v>1398</v>
      </c>
      <c r="E164" s="5" t="s">
        <v>1205</v>
      </c>
      <c r="F164" s="5" t="s">
        <v>434</v>
      </c>
      <c r="G164" s="5" t="s">
        <v>325</v>
      </c>
      <c r="H164" s="5" t="s">
        <v>1206</v>
      </c>
      <c r="I164" s="5" t="s">
        <v>1383</v>
      </c>
      <c r="J164" s="5" t="s">
        <v>1399</v>
      </c>
      <c r="K164" s="5" t="s">
        <v>1400</v>
      </c>
      <c r="L164" s="5" t="s">
        <v>1210</v>
      </c>
      <c r="M164" s="5" t="s">
        <v>1201</v>
      </c>
      <c r="N164" s="5" t="s">
        <v>82</v>
      </c>
      <c r="O164" s="5" t="s">
        <v>1401</v>
      </c>
      <c r="P164" s="5" t="s">
        <v>1402</v>
      </c>
      <c r="Q164" s="5" t="s">
        <v>1403</v>
      </c>
      <c r="R164" s="5"/>
    </row>
    <row r="165" spans="1:18" ht="36" x14ac:dyDescent="0.25">
      <c r="A165" s="5" t="s">
        <v>1404</v>
      </c>
      <c r="B165" s="5" t="s">
        <v>1146</v>
      </c>
      <c r="C165" s="5" t="s">
        <v>1366</v>
      </c>
      <c r="D165" s="5" t="s">
        <v>1405</v>
      </c>
      <c r="E165" s="5" t="s">
        <v>1205</v>
      </c>
      <c r="F165" s="5" t="s">
        <v>434</v>
      </c>
      <c r="G165" s="5" t="s">
        <v>325</v>
      </c>
      <c r="H165" s="5" t="s">
        <v>1206</v>
      </c>
      <c r="I165" s="5" t="s">
        <v>343</v>
      </c>
      <c r="J165" s="5" t="s">
        <v>1406</v>
      </c>
      <c r="K165" s="5" t="s">
        <v>1407</v>
      </c>
      <c r="L165" s="5" t="s">
        <v>1210</v>
      </c>
      <c r="M165" s="5" t="s">
        <v>1201</v>
      </c>
      <c r="N165" s="5" t="s">
        <v>82</v>
      </c>
      <c r="O165" s="5" t="s">
        <v>1408</v>
      </c>
      <c r="P165" s="5" t="s">
        <v>1409</v>
      </c>
      <c r="Q165" s="5" t="s">
        <v>1410</v>
      </c>
      <c r="R165" s="5"/>
    </row>
    <row r="166" spans="1:18" ht="36" x14ac:dyDescent="0.25">
      <c r="A166" s="5" t="s">
        <v>1411</v>
      </c>
      <c r="B166" s="5" t="s">
        <v>1146</v>
      </c>
      <c r="C166" s="5" t="s">
        <v>1366</v>
      </c>
      <c r="D166" s="5" t="s">
        <v>1412</v>
      </c>
      <c r="E166" s="5" t="s">
        <v>1205</v>
      </c>
      <c r="F166" s="5" t="s">
        <v>434</v>
      </c>
      <c r="G166" s="5" t="s">
        <v>325</v>
      </c>
      <c r="H166" s="5" t="s">
        <v>1206</v>
      </c>
      <c r="I166" s="5" t="s">
        <v>343</v>
      </c>
      <c r="J166" s="5" t="s">
        <v>1413</v>
      </c>
      <c r="K166" s="5" t="s">
        <v>1414</v>
      </c>
      <c r="L166" s="5" t="s">
        <v>1210</v>
      </c>
      <c r="M166" s="5" t="s">
        <v>1201</v>
      </c>
      <c r="N166" s="5" t="s">
        <v>82</v>
      </c>
      <c r="O166" s="5" t="s">
        <v>1415</v>
      </c>
      <c r="P166" s="5" t="s">
        <v>1416</v>
      </c>
      <c r="Q166" s="5" t="s">
        <v>1417</v>
      </c>
      <c r="R166" s="5"/>
    </row>
    <row r="167" spans="1:18" ht="36" x14ac:dyDescent="0.25">
      <c r="A167" s="5" t="s">
        <v>1418</v>
      </c>
      <c r="B167" s="5" t="s">
        <v>1146</v>
      </c>
      <c r="C167" s="5" t="s">
        <v>1366</v>
      </c>
      <c r="D167" s="5" t="s">
        <v>1419</v>
      </c>
      <c r="E167" s="5" t="s">
        <v>1205</v>
      </c>
      <c r="F167" s="5" t="s">
        <v>342</v>
      </c>
      <c r="G167" s="5" t="s">
        <v>325</v>
      </c>
      <c r="H167" s="5" t="s">
        <v>1206</v>
      </c>
      <c r="I167" s="5" t="s">
        <v>1223</v>
      </c>
      <c r="J167" s="5" t="s">
        <v>1420</v>
      </c>
      <c r="K167" s="5" t="s">
        <v>1421</v>
      </c>
      <c r="L167" s="5" t="s">
        <v>1210</v>
      </c>
      <c r="M167" s="5" t="s">
        <v>1201</v>
      </c>
      <c r="N167" s="5" t="s">
        <v>82</v>
      </c>
      <c r="O167" s="5" t="s">
        <v>1422</v>
      </c>
      <c r="P167" s="5" t="s">
        <v>1423</v>
      </c>
      <c r="Q167" s="5" t="s">
        <v>1424</v>
      </c>
      <c r="R167" s="5"/>
    </row>
    <row r="168" spans="1:18" ht="36" x14ac:dyDescent="0.25">
      <c r="A168" s="5" t="s">
        <v>1425</v>
      </c>
      <c r="B168" s="5" t="s">
        <v>1146</v>
      </c>
      <c r="C168" s="5" t="s">
        <v>1366</v>
      </c>
      <c r="D168" s="5" t="s">
        <v>1426</v>
      </c>
      <c r="E168" s="5" t="s">
        <v>1205</v>
      </c>
      <c r="F168" s="5" t="s">
        <v>342</v>
      </c>
      <c r="G168" s="5" t="s">
        <v>325</v>
      </c>
      <c r="H168" s="5" t="s">
        <v>1206</v>
      </c>
      <c r="I168" s="5" t="s">
        <v>1223</v>
      </c>
      <c r="J168" s="5" t="s">
        <v>1427</v>
      </c>
      <c r="K168" s="5" t="s">
        <v>1428</v>
      </c>
      <c r="L168" s="5" t="s">
        <v>1210</v>
      </c>
      <c r="M168" s="5" t="s">
        <v>1201</v>
      </c>
      <c r="N168" s="5" t="s">
        <v>82</v>
      </c>
      <c r="O168" s="5" t="s">
        <v>1429</v>
      </c>
      <c r="P168" s="5" t="s">
        <v>1430</v>
      </c>
      <c r="Q168" s="5" t="s">
        <v>1431</v>
      </c>
      <c r="R168" s="5"/>
    </row>
    <row r="169" spans="1:18" ht="36" x14ac:dyDescent="0.25">
      <c r="A169" s="5" t="s">
        <v>1432</v>
      </c>
      <c r="B169" s="5" t="s">
        <v>1146</v>
      </c>
      <c r="C169" s="5" t="s">
        <v>1433</v>
      </c>
      <c r="D169" s="5" t="s">
        <v>553</v>
      </c>
      <c r="E169" s="5" t="s">
        <v>1434</v>
      </c>
      <c r="F169" s="5" t="s">
        <v>434</v>
      </c>
      <c r="G169" s="5" t="s">
        <v>168</v>
      </c>
      <c r="H169" s="5" t="s">
        <v>325</v>
      </c>
      <c r="I169" s="5" t="s">
        <v>865</v>
      </c>
      <c r="J169" s="5" t="s">
        <v>1435</v>
      </c>
      <c r="K169" s="5" t="s">
        <v>1436</v>
      </c>
      <c r="L169" s="5" t="s">
        <v>1437</v>
      </c>
      <c r="M169" s="5" t="s">
        <v>1201</v>
      </c>
      <c r="N169" s="5" t="s">
        <v>82</v>
      </c>
      <c r="O169" s="5" t="s">
        <v>1438</v>
      </c>
      <c r="P169" s="5" t="s">
        <v>1439</v>
      </c>
      <c r="Q169" s="5" t="s">
        <v>1440</v>
      </c>
      <c r="R169" s="5"/>
    </row>
    <row r="170" spans="1:18" ht="36" x14ac:dyDescent="0.25">
      <c r="A170" s="5" t="s">
        <v>1441</v>
      </c>
      <c r="B170" s="5" t="s">
        <v>1146</v>
      </c>
      <c r="C170" s="5" t="s">
        <v>1433</v>
      </c>
      <c r="D170" s="5" t="s">
        <v>562</v>
      </c>
      <c r="E170" s="5" t="s">
        <v>1434</v>
      </c>
      <c r="F170" s="5" t="s">
        <v>434</v>
      </c>
      <c r="G170" s="5" t="s">
        <v>168</v>
      </c>
      <c r="H170" s="5" t="s">
        <v>325</v>
      </c>
      <c r="I170" s="5" t="s">
        <v>563</v>
      </c>
      <c r="J170" s="5" t="s">
        <v>1442</v>
      </c>
      <c r="K170" s="5" t="s">
        <v>1443</v>
      </c>
      <c r="L170" s="5" t="s">
        <v>1437</v>
      </c>
      <c r="M170" s="5" t="s">
        <v>1201</v>
      </c>
      <c r="N170" s="5" t="s">
        <v>82</v>
      </c>
      <c r="O170" s="5" t="s">
        <v>1444</v>
      </c>
      <c r="P170" s="5" t="s">
        <v>1445</v>
      </c>
      <c r="Q170" s="5" t="s">
        <v>1446</v>
      </c>
      <c r="R170" s="5"/>
    </row>
    <row r="171" spans="1:18" ht="36" x14ac:dyDescent="0.25">
      <c r="A171" s="5" t="s">
        <v>1447</v>
      </c>
      <c r="B171" s="5" t="s">
        <v>1146</v>
      </c>
      <c r="C171" s="5" t="s">
        <v>1433</v>
      </c>
      <c r="D171" s="5" t="s">
        <v>5</v>
      </c>
      <c r="E171" s="5" t="s">
        <v>1434</v>
      </c>
      <c r="F171" s="5" t="s">
        <v>434</v>
      </c>
      <c r="G171" s="5" t="s">
        <v>168</v>
      </c>
      <c r="H171" s="5" t="s">
        <v>325</v>
      </c>
      <c r="I171" s="5" t="s">
        <v>563</v>
      </c>
      <c r="J171" s="5" t="s">
        <v>1448</v>
      </c>
      <c r="K171" s="5" t="s">
        <v>1449</v>
      </c>
      <c r="L171" s="5" t="s">
        <v>1437</v>
      </c>
      <c r="M171" s="5" t="s">
        <v>1201</v>
      </c>
      <c r="N171" s="5" t="s">
        <v>82</v>
      </c>
      <c r="O171" s="5" t="s">
        <v>1450</v>
      </c>
      <c r="P171" s="5" t="s">
        <v>1451</v>
      </c>
      <c r="Q171" s="5" t="s">
        <v>1452</v>
      </c>
      <c r="R171" s="5"/>
    </row>
    <row r="172" spans="1:18" ht="36" x14ac:dyDescent="0.25">
      <c r="A172" s="5" t="s">
        <v>1453</v>
      </c>
      <c r="B172" s="5" t="s">
        <v>1146</v>
      </c>
      <c r="C172" s="5" t="s">
        <v>1433</v>
      </c>
      <c r="D172" s="5" t="s">
        <v>1454</v>
      </c>
      <c r="E172" s="5" t="s">
        <v>1434</v>
      </c>
      <c r="F172" s="5" t="s">
        <v>751</v>
      </c>
      <c r="G172" s="5" t="s">
        <v>1455</v>
      </c>
      <c r="H172" s="5" t="s">
        <v>325</v>
      </c>
      <c r="I172" s="5" t="s">
        <v>1456</v>
      </c>
      <c r="J172" s="5" t="s">
        <v>1457</v>
      </c>
      <c r="K172" s="5" t="s">
        <v>1458</v>
      </c>
      <c r="L172" s="5" t="s">
        <v>1437</v>
      </c>
      <c r="M172" s="5" t="s">
        <v>1201</v>
      </c>
      <c r="N172" s="5" t="s">
        <v>82</v>
      </c>
      <c r="O172" s="5" t="s">
        <v>1459</v>
      </c>
      <c r="P172" s="5" t="s">
        <v>1460</v>
      </c>
      <c r="Q172" s="5" t="s">
        <v>1461</v>
      </c>
      <c r="R172" s="5"/>
    </row>
    <row r="173" spans="1:18" ht="36" x14ac:dyDescent="0.25">
      <c r="A173" s="5" t="s">
        <v>1462</v>
      </c>
      <c r="B173" s="5" t="s">
        <v>1146</v>
      </c>
      <c r="C173" s="5" t="s">
        <v>1433</v>
      </c>
      <c r="D173" s="5" t="s">
        <v>1463</v>
      </c>
      <c r="E173" s="5" t="s">
        <v>1434</v>
      </c>
      <c r="F173" s="5" t="s">
        <v>751</v>
      </c>
      <c r="G173" s="5" t="s">
        <v>1455</v>
      </c>
      <c r="H173" s="5" t="s">
        <v>325</v>
      </c>
      <c r="I173" s="5" t="s">
        <v>1456</v>
      </c>
      <c r="J173" s="5" t="s">
        <v>1464</v>
      </c>
      <c r="K173" s="5" t="s">
        <v>1465</v>
      </c>
      <c r="L173" s="5" t="s">
        <v>1437</v>
      </c>
      <c r="M173" s="5" t="s">
        <v>1201</v>
      </c>
      <c r="N173" s="5" t="s">
        <v>82</v>
      </c>
      <c r="O173" s="5" t="s">
        <v>1466</v>
      </c>
      <c r="P173" s="5" t="s">
        <v>1467</v>
      </c>
      <c r="Q173" s="5" t="s">
        <v>1468</v>
      </c>
      <c r="R173" s="5"/>
    </row>
    <row r="174" spans="1:18" ht="36" x14ac:dyDescent="0.25">
      <c r="A174" s="5" t="s">
        <v>1469</v>
      </c>
      <c r="B174" s="5" t="s">
        <v>1146</v>
      </c>
      <c r="C174" s="5" t="s">
        <v>1433</v>
      </c>
      <c r="D174" s="5" t="s">
        <v>1470</v>
      </c>
      <c r="E174" s="5" t="s">
        <v>1434</v>
      </c>
      <c r="F174" s="5" t="s">
        <v>751</v>
      </c>
      <c r="G174" s="5" t="s">
        <v>1455</v>
      </c>
      <c r="H174" s="5" t="s">
        <v>325</v>
      </c>
      <c r="I174" s="5" t="s">
        <v>1456</v>
      </c>
      <c r="J174" s="5" t="s">
        <v>1471</v>
      </c>
      <c r="K174" s="5" t="s">
        <v>1472</v>
      </c>
      <c r="L174" s="5" t="s">
        <v>1437</v>
      </c>
      <c r="M174" s="5" t="s">
        <v>1201</v>
      </c>
      <c r="N174" s="5" t="s">
        <v>82</v>
      </c>
      <c r="O174" s="5" t="s">
        <v>1473</v>
      </c>
      <c r="P174" s="5" t="s">
        <v>1474</v>
      </c>
      <c r="Q174" s="5" t="s">
        <v>1475</v>
      </c>
      <c r="R174" s="5"/>
    </row>
    <row r="175" spans="1:18" ht="36" x14ac:dyDescent="0.25">
      <c r="A175" s="5" t="s">
        <v>1476</v>
      </c>
      <c r="B175" s="5" t="s">
        <v>1146</v>
      </c>
      <c r="C175" s="5" t="s">
        <v>1433</v>
      </c>
      <c r="D175" s="5" t="s">
        <v>1477</v>
      </c>
      <c r="E175" s="5" t="s">
        <v>1434</v>
      </c>
      <c r="F175" s="5" t="s">
        <v>751</v>
      </c>
      <c r="G175" s="5" t="s">
        <v>1455</v>
      </c>
      <c r="H175" s="5" t="s">
        <v>325</v>
      </c>
      <c r="I175" s="5" t="s">
        <v>1456</v>
      </c>
      <c r="J175" s="5" t="s">
        <v>1478</v>
      </c>
      <c r="K175" s="5" t="s">
        <v>1479</v>
      </c>
      <c r="L175" s="5" t="s">
        <v>1437</v>
      </c>
      <c r="M175" s="5" t="s">
        <v>1201</v>
      </c>
      <c r="N175" s="5" t="s">
        <v>82</v>
      </c>
      <c r="O175" s="5" t="s">
        <v>1480</v>
      </c>
      <c r="P175" s="5" t="s">
        <v>1481</v>
      </c>
      <c r="Q175" s="5" t="s">
        <v>1482</v>
      </c>
      <c r="R175" s="5"/>
    </row>
    <row r="176" spans="1:18" ht="36" x14ac:dyDescent="0.25">
      <c r="A176" s="5" t="s">
        <v>1483</v>
      </c>
      <c r="B176" s="5" t="s">
        <v>1146</v>
      </c>
      <c r="C176" s="5" t="s">
        <v>1433</v>
      </c>
      <c r="D176" s="5" t="s">
        <v>1484</v>
      </c>
      <c r="E176" s="5" t="s">
        <v>1434</v>
      </c>
      <c r="F176" s="5" t="s">
        <v>751</v>
      </c>
      <c r="G176" s="5" t="s">
        <v>1455</v>
      </c>
      <c r="H176" s="5" t="s">
        <v>325</v>
      </c>
      <c r="I176" s="5" t="s">
        <v>1485</v>
      </c>
      <c r="J176" s="5" t="s">
        <v>1486</v>
      </c>
      <c r="K176" s="5" t="s">
        <v>1487</v>
      </c>
      <c r="L176" s="5" t="s">
        <v>1437</v>
      </c>
      <c r="M176" s="5" t="s">
        <v>1201</v>
      </c>
      <c r="N176" s="5" t="s">
        <v>82</v>
      </c>
      <c r="O176" s="5" t="s">
        <v>1488</v>
      </c>
      <c r="P176" s="5" t="s">
        <v>1489</v>
      </c>
      <c r="Q176" s="5" t="s">
        <v>1490</v>
      </c>
      <c r="R176" s="5"/>
    </row>
    <row r="177" spans="1:18" ht="36" x14ac:dyDescent="0.25">
      <c r="A177" s="5" t="s">
        <v>1491</v>
      </c>
      <c r="B177" s="5" t="s">
        <v>1146</v>
      </c>
      <c r="C177" s="5" t="s">
        <v>1433</v>
      </c>
      <c r="D177" s="5" t="s">
        <v>1492</v>
      </c>
      <c r="E177" s="5" t="s">
        <v>1434</v>
      </c>
      <c r="F177" s="5" t="s">
        <v>324</v>
      </c>
      <c r="G177" s="5" t="s">
        <v>168</v>
      </c>
      <c r="H177" s="5" t="s">
        <v>325</v>
      </c>
      <c r="I177" s="5" t="s">
        <v>1493</v>
      </c>
      <c r="J177" s="5" t="s">
        <v>1494</v>
      </c>
      <c r="K177" s="5" t="s">
        <v>1495</v>
      </c>
      <c r="L177" s="5" t="s">
        <v>1437</v>
      </c>
      <c r="M177" s="5" t="s">
        <v>1201</v>
      </c>
      <c r="N177" s="5" t="s">
        <v>82</v>
      </c>
      <c r="O177" s="5" t="s">
        <v>1496</v>
      </c>
      <c r="P177" s="5" t="s">
        <v>1497</v>
      </c>
      <c r="Q177" s="5" t="s">
        <v>1498</v>
      </c>
      <c r="R177" s="5"/>
    </row>
    <row r="178" spans="1:18" ht="36" x14ac:dyDescent="0.25">
      <c r="A178" s="5" t="s">
        <v>1499</v>
      </c>
      <c r="B178" s="5" t="s">
        <v>1146</v>
      </c>
      <c r="C178" s="5" t="s">
        <v>1433</v>
      </c>
      <c r="D178" s="5" t="s">
        <v>1500</v>
      </c>
      <c r="E178" s="5" t="s">
        <v>1501</v>
      </c>
      <c r="F178" s="5" t="s">
        <v>1502</v>
      </c>
      <c r="G178" s="5" t="s">
        <v>106</v>
      </c>
      <c r="H178" s="5" t="s">
        <v>325</v>
      </c>
      <c r="I178" s="5" t="s">
        <v>1503</v>
      </c>
      <c r="J178" s="5" t="s">
        <v>1504</v>
      </c>
      <c r="K178" s="5" t="s">
        <v>1505</v>
      </c>
      <c r="L178" s="5" t="s">
        <v>1437</v>
      </c>
      <c r="M178" s="5" t="s">
        <v>1201</v>
      </c>
      <c r="N178" s="5" t="s">
        <v>82</v>
      </c>
      <c r="O178" s="5" t="s">
        <v>1506</v>
      </c>
      <c r="P178" s="5" t="s">
        <v>1507</v>
      </c>
      <c r="Q178" s="5" t="s">
        <v>1508</v>
      </c>
      <c r="R178" s="5"/>
    </row>
    <row r="179" spans="1:18" ht="36" x14ac:dyDescent="0.25">
      <c r="A179" s="5" t="s">
        <v>1509</v>
      </c>
      <c r="B179" s="5" t="s">
        <v>1146</v>
      </c>
      <c r="C179" s="5" t="s">
        <v>1510</v>
      </c>
      <c r="D179" s="5" t="s">
        <v>1511</v>
      </c>
      <c r="E179" s="5" t="s">
        <v>1205</v>
      </c>
      <c r="F179" s="5" t="s">
        <v>342</v>
      </c>
      <c r="G179" s="5" t="s">
        <v>325</v>
      </c>
      <c r="H179" s="5" t="s">
        <v>1206</v>
      </c>
      <c r="I179" s="5" t="s">
        <v>435</v>
      </c>
      <c r="J179" s="5" t="s">
        <v>1512</v>
      </c>
      <c r="K179" s="5" t="s">
        <v>1513</v>
      </c>
      <c r="L179" s="5" t="s">
        <v>1210</v>
      </c>
      <c r="M179" s="5" t="s">
        <v>1201</v>
      </c>
      <c r="N179" s="5" t="s">
        <v>82</v>
      </c>
      <c r="O179" s="5" t="s">
        <v>1514</v>
      </c>
      <c r="P179" s="5" t="s">
        <v>1515</v>
      </c>
      <c r="Q179" s="5" t="s">
        <v>1516</v>
      </c>
      <c r="R179" s="5"/>
    </row>
    <row r="180" spans="1:18" ht="36" x14ac:dyDescent="0.25">
      <c r="A180" s="5" t="s">
        <v>1517</v>
      </c>
      <c r="B180" s="5" t="s">
        <v>1146</v>
      </c>
      <c r="C180" s="5" t="s">
        <v>1510</v>
      </c>
      <c r="D180" s="5" t="s">
        <v>1518</v>
      </c>
      <c r="E180" s="5" t="s">
        <v>1205</v>
      </c>
      <c r="F180" s="5" t="s">
        <v>342</v>
      </c>
      <c r="G180" s="5" t="s">
        <v>325</v>
      </c>
      <c r="H180" s="5" t="s">
        <v>1206</v>
      </c>
      <c r="I180" s="5" t="s">
        <v>435</v>
      </c>
      <c r="J180" s="5" t="s">
        <v>1519</v>
      </c>
      <c r="K180" s="5" t="s">
        <v>1520</v>
      </c>
      <c r="L180" s="5" t="s">
        <v>1210</v>
      </c>
      <c r="M180" s="5" t="s">
        <v>1201</v>
      </c>
      <c r="N180" s="5" t="s">
        <v>82</v>
      </c>
      <c r="O180" s="5" t="s">
        <v>1521</v>
      </c>
      <c r="P180" s="5" t="s">
        <v>1522</v>
      </c>
      <c r="Q180" s="5" t="s">
        <v>1523</v>
      </c>
      <c r="R180" s="5"/>
    </row>
    <row r="181" spans="1:18" ht="36" x14ac:dyDescent="0.25">
      <c r="A181" s="5" t="s">
        <v>1524</v>
      </c>
      <c r="B181" s="5" t="s">
        <v>1146</v>
      </c>
      <c r="C181" s="5" t="s">
        <v>1510</v>
      </c>
      <c r="D181" s="5" t="s">
        <v>1525</v>
      </c>
      <c r="E181" s="5" t="s">
        <v>1205</v>
      </c>
      <c r="F181" s="5" t="s">
        <v>342</v>
      </c>
      <c r="G181" s="5" t="s">
        <v>325</v>
      </c>
      <c r="H181" s="5" t="s">
        <v>1206</v>
      </c>
      <c r="I181" s="5" t="s">
        <v>435</v>
      </c>
      <c r="J181" s="5" t="s">
        <v>1526</v>
      </c>
      <c r="K181" s="5" t="s">
        <v>1527</v>
      </c>
      <c r="L181" s="5" t="s">
        <v>1210</v>
      </c>
      <c r="M181" s="5" t="s">
        <v>1201</v>
      </c>
      <c r="N181" s="5" t="s">
        <v>82</v>
      </c>
      <c r="O181" s="5" t="s">
        <v>1528</v>
      </c>
      <c r="P181" s="5" t="s">
        <v>1529</v>
      </c>
      <c r="Q181" s="5" t="s">
        <v>1530</v>
      </c>
      <c r="R181" s="5"/>
    </row>
    <row r="182" spans="1:18" ht="36" x14ac:dyDescent="0.25">
      <c r="A182" s="5" t="s">
        <v>1531</v>
      </c>
      <c r="B182" s="5" t="s">
        <v>1146</v>
      </c>
      <c r="C182" s="5" t="s">
        <v>1510</v>
      </c>
      <c r="D182" s="5" t="s">
        <v>1532</v>
      </c>
      <c r="E182" s="5" t="s">
        <v>1205</v>
      </c>
      <c r="F182" s="5" t="s">
        <v>342</v>
      </c>
      <c r="G182" s="5" t="s">
        <v>325</v>
      </c>
      <c r="H182" s="5" t="s">
        <v>1206</v>
      </c>
      <c r="I182" s="5" t="s">
        <v>435</v>
      </c>
      <c r="J182" s="5" t="s">
        <v>1533</v>
      </c>
      <c r="K182" s="5" t="s">
        <v>1534</v>
      </c>
      <c r="L182" s="5" t="s">
        <v>1210</v>
      </c>
      <c r="M182" s="5" t="s">
        <v>1201</v>
      </c>
      <c r="N182" s="5" t="s">
        <v>82</v>
      </c>
      <c r="O182" s="5" t="s">
        <v>1535</v>
      </c>
      <c r="P182" s="5" t="s">
        <v>1536</v>
      </c>
      <c r="Q182" s="5" t="s">
        <v>1537</v>
      </c>
      <c r="R182" s="5"/>
    </row>
    <row r="183" spans="1:18" ht="36" x14ac:dyDescent="0.25">
      <c r="A183" s="5" t="s">
        <v>1538</v>
      </c>
      <c r="B183" s="5" t="s">
        <v>1146</v>
      </c>
      <c r="C183" s="5" t="s">
        <v>1510</v>
      </c>
      <c r="D183" s="5" t="s">
        <v>1539</v>
      </c>
      <c r="E183" s="5" t="s">
        <v>1205</v>
      </c>
      <c r="F183" s="5" t="s">
        <v>342</v>
      </c>
      <c r="G183" s="5" t="s">
        <v>325</v>
      </c>
      <c r="H183" s="5" t="s">
        <v>1206</v>
      </c>
      <c r="I183" s="5" t="s">
        <v>435</v>
      </c>
      <c r="J183" s="5" t="s">
        <v>1540</v>
      </c>
      <c r="K183" s="5" t="s">
        <v>1541</v>
      </c>
      <c r="L183" s="5" t="s">
        <v>1210</v>
      </c>
      <c r="M183" s="5" t="s">
        <v>1201</v>
      </c>
      <c r="N183" s="5" t="s">
        <v>82</v>
      </c>
      <c r="O183" s="5" t="s">
        <v>1542</v>
      </c>
      <c r="P183" s="5" t="s">
        <v>1543</v>
      </c>
      <c r="Q183" s="5" t="s">
        <v>1544</v>
      </c>
      <c r="R183" s="5"/>
    </row>
    <row r="184" spans="1:18" ht="36" x14ac:dyDescent="0.25">
      <c r="A184" s="5" t="s">
        <v>1545</v>
      </c>
      <c r="B184" s="5" t="s">
        <v>1146</v>
      </c>
      <c r="C184" s="5" t="s">
        <v>1510</v>
      </c>
      <c r="D184" s="5" t="s">
        <v>1546</v>
      </c>
      <c r="E184" s="5" t="s">
        <v>1205</v>
      </c>
      <c r="F184" s="5" t="s">
        <v>342</v>
      </c>
      <c r="G184" s="5" t="s">
        <v>325</v>
      </c>
      <c r="H184" s="5" t="s">
        <v>1206</v>
      </c>
      <c r="I184" s="5" t="s">
        <v>435</v>
      </c>
      <c r="J184" s="5" t="s">
        <v>1547</v>
      </c>
      <c r="K184" s="5" t="s">
        <v>1548</v>
      </c>
      <c r="L184" s="5" t="s">
        <v>1210</v>
      </c>
      <c r="M184" s="5" t="s">
        <v>1201</v>
      </c>
      <c r="N184" s="5" t="s">
        <v>82</v>
      </c>
      <c r="O184" s="5" t="s">
        <v>1549</v>
      </c>
      <c r="P184" s="5" t="s">
        <v>1550</v>
      </c>
      <c r="Q184" s="5" t="s">
        <v>1551</v>
      </c>
      <c r="R184" s="5"/>
    </row>
    <row r="185" spans="1:18" ht="36" x14ac:dyDescent="0.25">
      <c r="A185" s="5" t="s">
        <v>1552</v>
      </c>
      <c r="B185" s="5" t="s">
        <v>1146</v>
      </c>
      <c r="C185" s="5" t="s">
        <v>1510</v>
      </c>
      <c r="D185" s="5" t="s">
        <v>1553</v>
      </c>
      <c r="E185" s="5" t="s">
        <v>1205</v>
      </c>
      <c r="F185" s="5" t="s">
        <v>342</v>
      </c>
      <c r="G185" s="5" t="s">
        <v>325</v>
      </c>
      <c r="H185" s="5" t="s">
        <v>1206</v>
      </c>
      <c r="I185" s="5" t="s">
        <v>435</v>
      </c>
      <c r="J185" s="5" t="s">
        <v>1554</v>
      </c>
      <c r="K185" s="5" t="s">
        <v>1555</v>
      </c>
      <c r="L185" s="5" t="s">
        <v>1210</v>
      </c>
      <c r="M185" s="5" t="s">
        <v>1201</v>
      </c>
      <c r="N185" s="5" t="s">
        <v>82</v>
      </c>
      <c r="O185" s="5" t="s">
        <v>1556</v>
      </c>
      <c r="P185" s="5" t="s">
        <v>1557</v>
      </c>
      <c r="Q185" s="5" t="s">
        <v>1558</v>
      </c>
      <c r="R185" s="5"/>
    </row>
    <row r="186" spans="1:18" ht="36" x14ac:dyDescent="0.25">
      <c r="A186" s="5" t="s">
        <v>1559</v>
      </c>
      <c r="B186" s="5" t="s">
        <v>1146</v>
      </c>
      <c r="C186" s="5" t="s">
        <v>1510</v>
      </c>
      <c r="D186" s="5" t="s">
        <v>1560</v>
      </c>
      <c r="E186" s="5" t="s">
        <v>1561</v>
      </c>
      <c r="F186" s="5" t="s">
        <v>243</v>
      </c>
      <c r="G186" s="5" t="s">
        <v>106</v>
      </c>
      <c r="H186" s="5" t="s">
        <v>106</v>
      </c>
      <c r="I186" s="5" t="s">
        <v>1562</v>
      </c>
      <c r="J186" s="5" t="s">
        <v>106</v>
      </c>
      <c r="K186" s="5" t="s">
        <v>106</v>
      </c>
      <c r="L186" s="5" t="s">
        <v>1210</v>
      </c>
      <c r="M186" s="5" t="s">
        <v>1201</v>
      </c>
      <c r="N186" s="5" t="s">
        <v>106</v>
      </c>
      <c r="O186" s="5" t="s">
        <v>1563</v>
      </c>
      <c r="P186" s="5" t="s">
        <v>106</v>
      </c>
      <c r="Q186" s="5" t="s">
        <v>106</v>
      </c>
      <c r="R186" s="5"/>
    </row>
    <row r="187" spans="1:18" ht="36" x14ac:dyDescent="0.25">
      <c r="A187" s="5" t="s">
        <v>1564</v>
      </c>
      <c r="B187" s="5" t="s">
        <v>1146</v>
      </c>
      <c r="C187" s="5" t="s">
        <v>1565</v>
      </c>
      <c r="D187" s="5" t="s">
        <v>1566</v>
      </c>
      <c r="E187" s="5" t="s">
        <v>1566</v>
      </c>
      <c r="F187" s="5" t="s">
        <v>1567</v>
      </c>
      <c r="G187" s="5" t="s">
        <v>325</v>
      </c>
      <c r="H187" s="5" t="s">
        <v>325</v>
      </c>
      <c r="I187" s="5" t="s">
        <v>1568</v>
      </c>
      <c r="J187" s="5" t="s">
        <v>1569</v>
      </c>
      <c r="K187" s="5" t="s">
        <v>1570</v>
      </c>
      <c r="L187" s="5" t="s">
        <v>1571</v>
      </c>
      <c r="M187" s="5" t="s">
        <v>1572</v>
      </c>
      <c r="N187" s="5" t="s">
        <v>82</v>
      </c>
      <c r="O187" s="5" t="s">
        <v>1573</v>
      </c>
      <c r="P187" s="5" t="s">
        <v>1574</v>
      </c>
      <c r="Q187" s="5" t="s">
        <v>1575</v>
      </c>
      <c r="R187" s="5"/>
    </row>
    <row r="188" spans="1:18" ht="36" x14ac:dyDescent="0.25">
      <c r="A188" s="5" t="s">
        <v>1576</v>
      </c>
      <c r="B188" s="5" t="s">
        <v>1146</v>
      </c>
      <c r="C188" s="5" t="s">
        <v>1565</v>
      </c>
      <c r="D188" s="5" t="s">
        <v>1577</v>
      </c>
      <c r="E188" s="5" t="s">
        <v>1577</v>
      </c>
      <c r="F188" s="5" t="s">
        <v>1567</v>
      </c>
      <c r="G188" s="5" t="s">
        <v>325</v>
      </c>
      <c r="H188" s="5" t="s">
        <v>325</v>
      </c>
      <c r="I188" s="5" t="s">
        <v>1568</v>
      </c>
      <c r="J188" s="5" t="s">
        <v>1578</v>
      </c>
      <c r="K188" s="5" t="s">
        <v>1579</v>
      </c>
      <c r="L188" s="5" t="s">
        <v>1571</v>
      </c>
      <c r="M188" s="5" t="s">
        <v>1572</v>
      </c>
      <c r="N188" s="5" t="s">
        <v>82</v>
      </c>
      <c r="O188" s="5" t="s">
        <v>1580</v>
      </c>
      <c r="P188" s="5" t="s">
        <v>1581</v>
      </c>
      <c r="Q188" s="5" t="s">
        <v>1582</v>
      </c>
      <c r="R188" s="5"/>
    </row>
    <row r="189" spans="1:18" ht="36" x14ac:dyDescent="0.25">
      <c r="A189" s="5" t="s">
        <v>1583</v>
      </c>
      <c r="B189" s="5" t="s">
        <v>1146</v>
      </c>
      <c r="C189" s="5" t="s">
        <v>1565</v>
      </c>
      <c r="D189" s="5" t="s">
        <v>1584</v>
      </c>
      <c r="E189" s="5" t="s">
        <v>1584</v>
      </c>
      <c r="F189" s="5" t="s">
        <v>1567</v>
      </c>
      <c r="G189" s="5" t="s">
        <v>325</v>
      </c>
      <c r="H189" s="5" t="s">
        <v>325</v>
      </c>
      <c r="I189" s="5" t="s">
        <v>1568</v>
      </c>
      <c r="J189" s="5" t="s">
        <v>1585</v>
      </c>
      <c r="K189" s="5" t="s">
        <v>1586</v>
      </c>
      <c r="L189" s="5" t="s">
        <v>1571</v>
      </c>
      <c r="M189" s="5" t="s">
        <v>1572</v>
      </c>
      <c r="N189" s="5" t="s">
        <v>82</v>
      </c>
      <c r="O189" s="5" t="s">
        <v>1587</v>
      </c>
      <c r="P189" s="5" t="s">
        <v>1588</v>
      </c>
      <c r="Q189" s="5" t="s">
        <v>1589</v>
      </c>
      <c r="R189" s="5"/>
    </row>
    <row r="190" spans="1:18" ht="36" x14ac:dyDescent="0.25">
      <c r="A190" s="5" t="s">
        <v>1590</v>
      </c>
      <c r="B190" s="5" t="s">
        <v>1146</v>
      </c>
      <c r="C190" s="5" t="s">
        <v>1565</v>
      </c>
      <c r="D190" s="5" t="s">
        <v>1591</v>
      </c>
      <c r="E190" s="5" t="s">
        <v>242</v>
      </c>
      <c r="F190" s="5" t="s">
        <v>243</v>
      </c>
      <c r="G190" s="5" t="s">
        <v>106</v>
      </c>
      <c r="H190" s="5" t="s">
        <v>106</v>
      </c>
      <c r="I190" s="5" t="s">
        <v>1592</v>
      </c>
      <c r="J190" s="5" t="s">
        <v>106</v>
      </c>
      <c r="K190" s="5" t="s">
        <v>106</v>
      </c>
      <c r="L190" s="5" t="s">
        <v>1571</v>
      </c>
      <c r="M190" s="5" t="s">
        <v>1572</v>
      </c>
      <c r="N190" s="5" t="s">
        <v>106</v>
      </c>
      <c r="O190" s="5" t="s">
        <v>1593</v>
      </c>
      <c r="P190" s="5" t="s">
        <v>106</v>
      </c>
      <c r="Q190" s="5" t="s">
        <v>106</v>
      </c>
      <c r="R190" s="5"/>
    </row>
    <row r="191" spans="1:18" ht="36" x14ac:dyDescent="0.25">
      <c r="A191" s="5" t="s">
        <v>1594</v>
      </c>
      <c r="B191" s="5" t="s">
        <v>1146</v>
      </c>
      <c r="C191" s="5" t="s">
        <v>1595</v>
      </c>
      <c r="D191" s="5" t="s">
        <v>1596</v>
      </c>
      <c r="E191" s="5" t="s">
        <v>1596</v>
      </c>
      <c r="F191" s="5" t="s">
        <v>190</v>
      </c>
      <c r="G191" s="5" t="s">
        <v>106</v>
      </c>
      <c r="H191" s="5" t="s">
        <v>168</v>
      </c>
      <c r="I191" s="5"/>
      <c r="J191" s="5" t="s">
        <v>1597</v>
      </c>
      <c r="K191" s="5" t="s">
        <v>1598</v>
      </c>
      <c r="L191" s="5" t="s">
        <v>1599</v>
      </c>
      <c r="M191" s="5" t="s">
        <v>1600</v>
      </c>
      <c r="N191" s="5" t="s">
        <v>82</v>
      </c>
      <c r="O191" s="5" t="s">
        <v>1601</v>
      </c>
      <c r="P191" s="5" t="s">
        <v>1602</v>
      </c>
      <c r="Q191" s="5" t="s">
        <v>1603</v>
      </c>
      <c r="R191" s="5"/>
    </row>
    <row r="192" spans="1:18" ht="36" x14ac:dyDescent="0.25">
      <c r="A192" s="5" t="s">
        <v>1604</v>
      </c>
      <c r="B192" s="5" t="s">
        <v>1146</v>
      </c>
      <c r="C192" s="5" t="s">
        <v>1595</v>
      </c>
      <c r="D192" s="5" t="s">
        <v>1605</v>
      </c>
      <c r="E192" s="5" t="s">
        <v>1606</v>
      </c>
      <c r="F192" s="5" t="s">
        <v>243</v>
      </c>
      <c r="G192" s="5" t="s">
        <v>106</v>
      </c>
      <c r="H192" s="5" t="s">
        <v>106</v>
      </c>
      <c r="I192" s="5" t="s">
        <v>1607</v>
      </c>
      <c r="J192" s="5" t="s">
        <v>106</v>
      </c>
      <c r="K192" s="5" t="s">
        <v>106</v>
      </c>
      <c r="L192" s="5" t="s">
        <v>1599</v>
      </c>
      <c r="M192" s="5" t="s">
        <v>1600</v>
      </c>
      <c r="N192" s="5" t="s">
        <v>106</v>
      </c>
      <c r="O192" s="5" t="s">
        <v>1608</v>
      </c>
      <c r="P192" s="5" t="s">
        <v>106</v>
      </c>
      <c r="Q192" s="5" t="s">
        <v>106</v>
      </c>
      <c r="R192" s="5"/>
    </row>
  </sheetData>
  <autoFilter ref="A1:R192" xr:uid="{00000000-0009-0000-0000-000001000000}"/>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21"/>
  <sheetViews>
    <sheetView zoomScale="90" workbookViewId="0">
      <pane xSplit="4" ySplit="1" topLeftCell="E2" activePane="bottomRight" state="frozen"/>
      <selection pane="topRight"/>
      <selection pane="bottomLeft"/>
      <selection pane="bottomRight"/>
    </sheetView>
  </sheetViews>
  <sheetFormatPr defaultRowHeight="15" x14ac:dyDescent="0.25"/>
  <cols>
    <col min="1" max="1" width="13" customWidth="1"/>
    <col min="2" max="2" width="26" customWidth="1"/>
    <col min="3" max="3" width="30" customWidth="1"/>
    <col min="4" max="4" width="26" customWidth="1"/>
    <col min="5" max="5" width="38" customWidth="1"/>
    <col min="6" max="6" width="24" customWidth="1"/>
    <col min="7" max="7" width="40" customWidth="1"/>
    <col min="8" max="8" width="22" customWidth="1"/>
    <col min="9" max="9" width="26" customWidth="1"/>
    <col min="10" max="10" width="58" customWidth="1"/>
    <col min="11" max="11" width="48" customWidth="1"/>
  </cols>
  <sheetData>
    <row r="1" spans="1:11" ht="30" customHeight="1" x14ac:dyDescent="0.25">
      <c r="A1" s="11" t="s">
        <v>1609</v>
      </c>
      <c r="B1" s="11" t="s">
        <v>75</v>
      </c>
      <c r="C1" s="11" t="s">
        <v>1610</v>
      </c>
      <c r="D1" s="11" t="s">
        <v>1611</v>
      </c>
      <c r="E1" s="11" t="s">
        <v>1612</v>
      </c>
      <c r="F1" s="11" t="s">
        <v>1613</v>
      </c>
      <c r="G1" s="11" t="s">
        <v>1614</v>
      </c>
      <c r="H1" s="11" t="s">
        <v>1615</v>
      </c>
      <c r="I1" s="11" t="s">
        <v>1616</v>
      </c>
      <c r="J1" s="11" t="s">
        <v>1617</v>
      </c>
      <c r="K1" s="11" t="s">
        <v>81</v>
      </c>
    </row>
    <row r="2" spans="1:11" ht="24" x14ac:dyDescent="0.25">
      <c r="A2" s="5" t="s">
        <v>1618</v>
      </c>
      <c r="B2" s="5" t="s">
        <v>82</v>
      </c>
      <c r="C2" s="5" t="s">
        <v>1619</v>
      </c>
      <c r="D2" s="5" t="s">
        <v>1620</v>
      </c>
      <c r="E2" s="5" t="s">
        <v>1621</v>
      </c>
      <c r="F2" s="5" t="s">
        <v>1622</v>
      </c>
      <c r="G2" s="5" t="s">
        <v>1623</v>
      </c>
      <c r="H2" s="5" t="s">
        <v>106</v>
      </c>
      <c r="I2" s="5" t="s">
        <v>1624</v>
      </c>
      <c r="J2" s="5" t="s">
        <v>1625</v>
      </c>
      <c r="K2" s="5"/>
    </row>
    <row r="3" spans="1:11" ht="24" x14ac:dyDescent="0.25">
      <c r="A3" s="5" t="s">
        <v>1626</v>
      </c>
      <c r="B3" s="5" t="s">
        <v>82</v>
      </c>
      <c r="C3" s="5" t="s">
        <v>1619</v>
      </c>
      <c r="D3" s="5" t="s">
        <v>1627</v>
      </c>
      <c r="E3" s="5" t="s">
        <v>1628</v>
      </c>
      <c r="F3" s="5" t="s">
        <v>1622</v>
      </c>
      <c r="G3" s="5" t="s">
        <v>1629</v>
      </c>
      <c r="H3" s="5" t="s">
        <v>106</v>
      </c>
      <c r="I3" s="5" t="s">
        <v>1630</v>
      </c>
      <c r="J3" s="5" t="s">
        <v>1631</v>
      </c>
      <c r="K3" s="5"/>
    </row>
    <row r="4" spans="1:11" ht="36" x14ac:dyDescent="0.25">
      <c r="A4" s="5" t="s">
        <v>1632</v>
      </c>
      <c r="B4" s="5" t="s">
        <v>82</v>
      </c>
      <c r="C4" s="5" t="s">
        <v>1633</v>
      </c>
      <c r="D4" s="5" t="s">
        <v>1634</v>
      </c>
      <c r="E4" s="5" t="s">
        <v>1635</v>
      </c>
      <c r="F4" s="5" t="s">
        <v>1636</v>
      </c>
      <c r="G4" s="5" t="s">
        <v>1637</v>
      </c>
      <c r="H4" s="5" t="s">
        <v>1638</v>
      </c>
      <c r="I4" s="5" t="s">
        <v>1639</v>
      </c>
      <c r="J4" s="5" t="s">
        <v>1640</v>
      </c>
      <c r="K4" s="5" t="s">
        <v>1641</v>
      </c>
    </row>
    <row r="5" spans="1:11" ht="24" x14ac:dyDescent="0.25">
      <c r="A5" s="5" t="s">
        <v>1642</v>
      </c>
      <c r="B5" s="5" t="s">
        <v>82</v>
      </c>
      <c r="C5" s="5" t="s">
        <v>1633</v>
      </c>
      <c r="D5" s="5" t="s">
        <v>1643</v>
      </c>
      <c r="E5" s="5" t="s">
        <v>1644</v>
      </c>
      <c r="F5" s="5" t="s">
        <v>1636</v>
      </c>
      <c r="G5" s="5" t="s">
        <v>1645</v>
      </c>
      <c r="H5" s="5" t="s">
        <v>106</v>
      </c>
      <c r="I5" s="5" t="s">
        <v>1646</v>
      </c>
      <c r="J5" s="5" t="s">
        <v>1647</v>
      </c>
      <c r="K5" s="5" t="s">
        <v>1648</v>
      </c>
    </row>
    <row r="6" spans="1:11" ht="24" x14ac:dyDescent="0.25">
      <c r="A6" s="5" t="s">
        <v>1649</v>
      </c>
      <c r="B6" s="5" t="s">
        <v>82</v>
      </c>
      <c r="C6" s="5" t="s">
        <v>1650</v>
      </c>
      <c r="D6" s="5" t="s">
        <v>1651</v>
      </c>
      <c r="E6" s="5" t="s">
        <v>1652</v>
      </c>
      <c r="F6" s="5" t="s">
        <v>1622</v>
      </c>
      <c r="G6" s="5" t="s">
        <v>1653</v>
      </c>
      <c r="H6" s="5" t="s">
        <v>106</v>
      </c>
      <c r="I6" s="5" t="s">
        <v>1654</v>
      </c>
      <c r="J6" s="5" t="s">
        <v>1655</v>
      </c>
      <c r="K6" s="5"/>
    </row>
    <row r="7" spans="1:11" ht="24" x14ac:dyDescent="0.25">
      <c r="A7" s="5" t="s">
        <v>1656</v>
      </c>
      <c r="B7" s="5" t="s">
        <v>82</v>
      </c>
      <c r="C7" s="5" t="s">
        <v>1657</v>
      </c>
      <c r="D7" s="5" t="s">
        <v>1658</v>
      </c>
      <c r="E7" s="5" t="s">
        <v>1659</v>
      </c>
      <c r="F7" s="5" t="s">
        <v>1660</v>
      </c>
      <c r="G7" s="5" t="s">
        <v>1661</v>
      </c>
      <c r="H7" s="5" t="s">
        <v>1662</v>
      </c>
      <c r="I7" s="5" t="s">
        <v>1663</v>
      </c>
      <c r="J7" s="5" t="s">
        <v>1664</v>
      </c>
      <c r="K7" s="5"/>
    </row>
    <row r="8" spans="1:11" ht="24" x14ac:dyDescent="0.25">
      <c r="A8" s="5" t="s">
        <v>1665</v>
      </c>
      <c r="B8" s="5" t="s">
        <v>82</v>
      </c>
      <c r="C8" s="5" t="s">
        <v>1657</v>
      </c>
      <c r="D8" s="5" t="s">
        <v>1666</v>
      </c>
      <c r="E8" s="5" t="s">
        <v>1667</v>
      </c>
      <c r="F8" s="5" t="s">
        <v>1668</v>
      </c>
      <c r="G8" s="5" t="s">
        <v>106</v>
      </c>
      <c r="H8" s="5" t="s">
        <v>106</v>
      </c>
      <c r="I8" s="5" t="s">
        <v>1663</v>
      </c>
      <c r="J8" s="5" t="s">
        <v>1669</v>
      </c>
      <c r="K8" s="5"/>
    </row>
    <row r="9" spans="1:11" ht="24" x14ac:dyDescent="0.25">
      <c r="A9" s="5" t="s">
        <v>1670</v>
      </c>
      <c r="B9" s="5" t="s">
        <v>82</v>
      </c>
      <c r="C9" s="5" t="s">
        <v>1671</v>
      </c>
      <c r="D9" s="5" t="s">
        <v>1672</v>
      </c>
      <c r="E9" s="5" t="s">
        <v>1673</v>
      </c>
      <c r="F9" s="5" t="s">
        <v>1668</v>
      </c>
      <c r="G9" s="5" t="s">
        <v>106</v>
      </c>
      <c r="H9" s="5" t="s">
        <v>106</v>
      </c>
      <c r="I9" s="5" t="s">
        <v>29</v>
      </c>
      <c r="J9" s="5" t="s">
        <v>1674</v>
      </c>
      <c r="K9" s="5"/>
    </row>
    <row r="10" spans="1:11" ht="24" x14ac:dyDescent="0.25">
      <c r="A10" s="5" t="s">
        <v>1675</v>
      </c>
      <c r="B10" s="5" t="s">
        <v>82</v>
      </c>
      <c r="C10" s="5" t="s">
        <v>1671</v>
      </c>
      <c r="D10" s="5" t="s">
        <v>1676</v>
      </c>
      <c r="E10" s="5" t="s">
        <v>1677</v>
      </c>
      <c r="F10" s="5" t="s">
        <v>1678</v>
      </c>
      <c r="G10" s="5" t="s">
        <v>1129</v>
      </c>
      <c r="H10" s="5" t="s">
        <v>1124</v>
      </c>
      <c r="I10" s="5" t="s">
        <v>1679</v>
      </c>
      <c r="J10" s="5" t="s">
        <v>1680</v>
      </c>
      <c r="K10" s="5"/>
    </row>
    <row r="11" spans="1:11" ht="24" x14ac:dyDescent="0.25">
      <c r="A11" s="5" t="s">
        <v>1681</v>
      </c>
      <c r="B11" s="5" t="s">
        <v>82</v>
      </c>
      <c r="C11" s="5" t="s">
        <v>1682</v>
      </c>
      <c r="D11" s="5" t="s">
        <v>1683</v>
      </c>
      <c r="E11" s="5" t="s">
        <v>1684</v>
      </c>
      <c r="F11" s="5" t="s">
        <v>1685</v>
      </c>
      <c r="G11" s="5" t="s">
        <v>1686</v>
      </c>
      <c r="H11" s="5" t="s">
        <v>1687</v>
      </c>
      <c r="I11" s="5" t="s">
        <v>29</v>
      </c>
      <c r="J11" s="5" t="s">
        <v>1688</v>
      </c>
      <c r="K11" s="5"/>
    </row>
    <row r="12" spans="1:11" ht="24" x14ac:dyDescent="0.25">
      <c r="A12" s="5" t="s">
        <v>1689</v>
      </c>
      <c r="B12" s="5" t="s">
        <v>82</v>
      </c>
      <c r="C12" s="5" t="s">
        <v>1682</v>
      </c>
      <c r="D12" s="5" t="s">
        <v>1690</v>
      </c>
      <c r="E12" s="5" t="s">
        <v>1691</v>
      </c>
      <c r="F12" s="5" t="s">
        <v>1685</v>
      </c>
      <c r="G12" s="5" t="s">
        <v>1692</v>
      </c>
      <c r="H12" s="5" t="s">
        <v>1693</v>
      </c>
      <c r="I12" s="5" t="s">
        <v>29</v>
      </c>
      <c r="J12" s="5" t="s">
        <v>1694</v>
      </c>
      <c r="K12" s="5"/>
    </row>
    <row r="13" spans="1:11" ht="24" x14ac:dyDescent="0.25">
      <c r="A13" s="5" t="s">
        <v>1695</v>
      </c>
      <c r="B13" s="5" t="s">
        <v>82</v>
      </c>
      <c r="C13" s="5" t="s">
        <v>1682</v>
      </c>
      <c r="D13" s="5" t="s">
        <v>199</v>
      </c>
      <c r="E13" s="5" t="s">
        <v>1696</v>
      </c>
      <c r="F13" s="5" t="s">
        <v>1685</v>
      </c>
      <c r="G13" s="5" t="s">
        <v>1157</v>
      </c>
      <c r="H13" s="5" t="s">
        <v>1697</v>
      </c>
      <c r="I13" s="5" t="s">
        <v>29</v>
      </c>
      <c r="J13" s="5" t="s">
        <v>1698</v>
      </c>
      <c r="K13" s="5"/>
    </row>
    <row r="14" spans="1:11" ht="36" x14ac:dyDescent="0.25">
      <c r="A14" s="5" t="s">
        <v>1699</v>
      </c>
      <c r="B14" s="5" t="s">
        <v>82</v>
      </c>
      <c r="C14" s="5" t="s">
        <v>1682</v>
      </c>
      <c r="D14" s="5" t="s">
        <v>1169</v>
      </c>
      <c r="E14" s="5" t="s">
        <v>1700</v>
      </c>
      <c r="F14" s="5" t="s">
        <v>1701</v>
      </c>
      <c r="G14" s="5" t="s">
        <v>1702</v>
      </c>
      <c r="H14" s="5" t="s">
        <v>1168</v>
      </c>
      <c r="I14" s="5" t="s">
        <v>1703</v>
      </c>
      <c r="J14" s="5" t="s">
        <v>1704</v>
      </c>
      <c r="K14" s="5" t="s">
        <v>1705</v>
      </c>
    </row>
    <row r="15" spans="1:11" ht="24" x14ac:dyDescent="0.25">
      <c r="A15" s="5" t="s">
        <v>1706</v>
      </c>
      <c r="B15" s="5" t="s">
        <v>82</v>
      </c>
      <c r="C15" s="5" t="s">
        <v>1682</v>
      </c>
      <c r="D15" s="5" t="s">
        <v>1707</v>
      </c>
      <c r="E15" s="5" t="s">
        <v>1708</v>
      </c>
      <c r="F15" s="5" t="s">
        <v>1709</v>
      </c>
      <c r="G15" s="5" t="s">
        <v>192</v>
      </c>
      <c r="H15" s="5" t="s">
        <v>1710</v>
      </c>
      <c r="I15" s="5" t="s">
        <v>29</v>
      </c>
      <c r="J15" s="5" t="s">
        <v>1711</v>
      </c>
      <c r="K15" s="5"/>
    </row>
    <row r="16" spans="1:11" ht="24" x14ac:dyDescent="0.25">
      <c r="A16" s="5" t="s">
        <v>1712</v>
      </c>
      <c r="B16" s="5" t="s">
        <v>82</v>
      </c>
      <c r="C16" s="5" t="s">
        <v>1682</v>
      </c>
      <c r="D16" s="5" t="s">
        <v>1713</v>
      </c>
      <c r="E16" s="5" t="s">
        <v>1714</v>
      </c>
      <c r="F16" s="5" t="s">
        <v>1709</v>
      </c>
      <c r="G16" s="5" t="s">
        <v>260</v>
      </c>
      <c r="H16" s="5" t="s">
        <v>1715</v>
      </c>
      <c r="I16" s="5" t="s">
        <v>29</v>
      </c>
      <c r="J16" s="5" t="s">
        <v>1716</v>
      </c>
      <c r="K16" s="5"/>
    </row>
    <row r="17" spans="1:11" ht="24" x14ac:dyDescent="0.25">
      <c r="A17" s="5" t="s">
        <v>1717</v>
      </c>
      <c r="B17" s="5" t="s">
        <v>82</v>
      </c>
      <c r="C17" s="5" t="s">
        <v>1682</v>
      </c>
      <c r="D17" s="5" t="s">
        <v>1718</v>
      </c>
      <c r="E17" s="5" t="s">
        <v>1714</v>
      </c>
      <c r="F17" s="5" t="s">
        <v>1709</v>
      </c>
      <c r="G17" s="5" t="s">
        <v>276</v>
      </c>
      <c r="H17" s="5" t="s">
        <v>1719</v>
      </c>
      <c r="I17" s="5" t="s">
        <v>1720</v>
      </c>
      <c r="J17" s="5" t="s">
        <v>1721</v>
      </c>
      <c r="K17" s="5"/>
    </row>
    <row r="18" spans="1:11" ht="24" x14ac:dyDescent="0.25">
      <c r="A18" s="5" t="s">
        <v>1722</v>
      </c>
      <c r="B18" s="5" t="s">
        <v>82</v>
      </c>
      <c r="C18" s="5" t="s">
        <v>1682</v>
      </c>
      <c r="D18" s="5" t="s">
        <v>1723</v>
      </c>
      <c r="E18" s="5" t="s">
        <v>1724</v>
      </c>
      <c r="F18" s="5" t="s">
        <v>1709</v>
      </c>
      <c r="G18" s="5" t="s">
        <v>1725</v>
      </c>
      <c r="H18" s="5" t="s">
        <v>1726</v>
      </c>
      <c r="I18" s="5" t="s">
        <v>29</v>
      </c>
      <c r="J18" s="5" t="s">
        <v>1727</v>
      </c>
      <c r="K18" s="5"/>
    </row>
    <row r="19" spans="1:11" ht="24" x14ac:dyDescent="0.25">
      <c r="A19" s="5" t="s">
        <v>1728</v>
      </c>
      <c r="B19" s="5" t="s">
        <v>82</v>
      </c>
      <c r="C19" s="5" t="s">
        <v>1682</v>
      </c>
      <c r="D19" s="5" t="s">
        <v>214</v>
      </c>
      <c r="E19" s="5" t="s">
        <v>1729</v>
      </c>
      <c r="F19" s="5" t="s">
        <v>1709</v>
      </c>
      <c r="G19" s="5" t="s">
        <v>216</v>
      </c>
      <c r="H19" s="5" t="s">
        <v>1638</v>
      </c>
      <c r="I19" s="5" t="s">
        <v>29</v>
      </c>
      <c r="J19" s="5" t="s">
        <v>1730</v>
      </c>
      <c r="K19" s="5"/>
    </row>
    <row r="20" spans="1:11" ht="24" x14ac:dyDescent="0.25">
      <c r="A20" s="5" t="s">
        <v>1731</v>
      </c>
      <c r="B20" s="5" t="s">
        <v>82</v>
      </c>
      <c r="C20" s="5" t="s">
        <v>1682</v>
      </c>
      <c r="D20" s="5" t="s">
        <v>1177</v>
      </c>
      <c r="E20" s="5" t="s">
        <v>1732</v>
      </c>
      <c r="F20" s="5" t="s">
        <v>1685</v>
      </c>
      <c r="G20" s="5" t="s">
        <v>1179</v>
      </c>
      <c r="H20" s="5" t="s">
        <v>1176</v>
      </c>
      <c r="I20" s="5" t="s">
        <v>29</v>
      </c>
      <c r="J20" s="5" t="s">
        <v>1733</v>
      </c>
      <c r="K20" s="5"/>
    </row>
    <row r="21" spans="1:11" ht="24" x14ac:dyDescent="0.25">
      <c r="A21" s="5" t="s">
        <v>1734</v>
      </c>
      <c r="B21" s="5" t="s">
        <v>82</v>
      </c>
      <c r="C21" s="5" t="s">
        <v>1735</v>
      </c>
      <c r="D21" s="5" t="s">
        <v>1736</v>
      </c>
      <c r="E21" s="5" t="s">
        <v>1737</v>
      </c>
      <c r="F21" s="5" t="s">
        <v>1738</v>
      </c>
      <c r="G21" s="5" t="s">
        <v>1308</v>
      </c>
      <c r="H21" s="5" t="s">
        <v>1739</v>
      </c>
      <c r="I21" s="5" t="s">
        <v>1720</v>
      </c>
      <c r="J21" s="5" t="s">
        <v>1740</v>
      </c>
      <c r="K21" s="5"/>
    </row>
    <row r="22" spans="1:11" ht="24" x14ac:dyDescent="0.25">
      <c r="A22" s="5" t="s">
        <v>1741</v>
      </c>
      <c r="B22" s="5" t="s">
        <v>82</v>
      </c>
      <c r="C22" s="5" t="s">
        <v>1735</v>
      </c>
      <c r="D22" s="5" t="s">
        <v>805</v>
      </c>
      <c r="E22" s="5" t="s">
        <v>1742</v>
      </c>
      <c r="F22" s="5" t="s">
        <v>1738</v>
      </c>
      <c r="G22" s="5" t="s">
        <v>1315</v>
      </c>
      <c r="H22" s="5" t="s">
        <v>1743</v>
      </c>
      <c r="I22" s="5" t="s">
        <v>1720</v>
      </c>
      <c r="J22" s="5" t="s">
        <v>1744</v>
      </c>
      <c r="K22" s="5"/>
    </row>
    <row r="23" spans="1:11" ht="24" x14ac:dyDescent="0.25">
      <c r="A23" s="5" t="s">
        <v>1745</v>
      </c>
      <c r="B23" s="5" t="s">
        <v>82</v>
      </c>
      <c r="C23" s="5" t="s">
        <v>1735</v>
      </c>
      <c r="D23" s="5" t="s">
        <v>1746</v>
      </c>
      <c r="E23" s="5" t="s">
        <v>1747</v>
      </c>
      <c r="F23" s="5" t="s">
        <v>1748</v>
      </c>
      <c r="G23" s="5" t="s">
        <v>1749</v>
      </c>
      <c r="H23" s="5" t="s">
        <v>1750</v>
      </c>
      <c r="I23" s="5" t="s">
        <v>1751</v>
      </c>
      <c r="J23" s="5" t="s">
        <v>1752</v>
      </c>
      <c r="K23" s="5"/>
    </row>
    <row r="24" spans="1:11" ht="24" x14ac:dyDescent="0.25">
      <c r="A24" s="5" t="s">
        <v>1753</v>
      </c>
      <c r="B24" s="5" t="s">
        <v>82</v>
      </c>
      <c r="C24" s="5" t="s">
        <v>1735</v>
      </c>
      <c r="D24" s="5" t="s">
        <v>1754</v>
      </c>
      <c r="E24" s="5" t="s">
        <v>1755</v>
      </c>
      <c r="F24" s="5" t="s">
        <v>1738</v>
      </c>
      <c r="G24" s="5" t="s">
        <v>1322</v>
      </c>
      <c r="H24" s="5" t="s">
        <v>1756</v>
      </c>
      <c r="I24" s="5" t="s">
        <v>1720</v>
      </c>
      <c r="J24" s="5" t="s">
        <v>1757</v>
      </c>
      <c r="K24" s="5"/>
    </row>
    <row r="25" spans="1:11" ht="24" x14ac:dyDescent="0.25">
      <c r="A25" s="5" t="s">
        <v>1758</v>
      </c>
      <c r="B25" s="5" t="s">
        <v>82</v>
      </c>
      <c r="C25" s="5" t="s">
        <v>1735</v>
      </c>
      <c r="D25" s="5" t="s">
        <v>1759</v>
      </c>
      <c r="E25" s="5" t="s">
        <v>1760</v>
      </c>
      <c r="F25" s="5" t="s">
        <v>1738</v>
      </c>
      <c r="G25" s="5" t="s">
        <v>1352</v>
      </c>
      <c r="H25" s="5" t="s">
        <v>1761</v>
      </c>
      <c r="I25" s="5" t="s">
        <v>1720</v>
      </c>
      <c r="J25" s="5" t="s">
        <v>1762</v>
      </c>
      <c r="K25" s="5"/>
    </row>
    <row r="26" spans="1:11" ht="24" x14ac:dyDescent="0.25">
      <c r="A26" s="5" t="s">
        <v>1763</v>
      </c>
      <c r="B26" s="5" t="s">
        <v>82</v>
      </c>
      <c r="C26" s="5" t="s">
        <v>1735</v>
      </c>
      <c r="D26" s="5" t="s">
        <v>769</v>
      </c>
      <c r="E26" s="5" t="s">
        <v>1755</v>
      </c>
      <c r="F26" s="5" t="s">
        <v>1738</v>
      </c>
      <c r="G26" s="5" t="s">
        <v>1329</v>
      </c>
      <c r="H26" s="5" t="s">
        <v>1764</v>
      </c>
      <c r="I26" s="5" t="s">
        <v>1720</v>
      </c>
      <c r="J26" s="5" t="s">
        <v>1765</v>
      </c>
      <c r="K26" s="5"/>
    </row>
    <row r="27" spans="1:11" ht="24" x14ac:dyDescent="0.25">
      <c r="A27" s="5" t="s">
        <v>1766</v>
      </c>
      <c r="B27" s="5" t="s">
        <v>82</v>
      </c>
      <c r="C27" s="5" t="s">
        <v>1735</v>
      </c>
      <c r="D27" s="5" t="s">
        <v>1767</v>
      </c>
      <c r="E27" s="5" t="s">
        <v>1768</v>
      </c>
      <c r="F27" s="5" t="s">
        <v>1738</v>
      </c>
      <c r="G27" s="5" t="s">
        <v>1337</v>
      </c>
      <c r="H27" s="5" t="s">
        <v>1769</v>
      </c>
      <c r="I27" s="5" t="s">
        <v>1720</v>
      </c>
      <c r="J27" s="5" t="s">
        <v>1770</v>
      </c>
      <c r="K27" s="5"/>
    </row>
    <row r="28" spans="1:11" ht="24" x14ac:dyDescent="0.25">
      <c r="A28" s="5" t="s">
        <v>1771</v>
      </c>
      <c r="B28" s="5" t="s">
        <v>82</v>
      </c>
      <c r="C28" s="5" t="s">
        <v>1735</v>
      </c>
      <c r="D28" s="5" t="s">
        <v>796</v>
      </c>
      <c r="E28" s="5" t="s">
        <v>1772</v>
      </c>
      <c r="F28" s="5" t="s">
        <v>1738</v>
      </c>
      <c r="G28" s="5" t="s">
        <v>1344</v>
      </c>
      <c r="H28" s="5" t="s">
        <v>1773</v>
      </c>
      <c r="I28" s="5" t="s">
        <v>1720</v>
      </c>
      <c r="J28" s="5" t="s">
        <v>1774</v>
      </c>
      <c r="K28" s="5"/>
    </row>
    <row r="29" spans="1:11" ht="24" x14ac:dyDescent="0.25">
      <c r="A29" s="5" t="s">
        <v>1775</v>
      </c>
      <c r="B29" s="5" t="s">
        <v>82</v>
      </c>
      <c r="C29" s="5" t="s">
        <v>1776</v>
      </c>
      <c r="D29" s="5" t="s">
        <v>1777</v>
      </c>
      <c r="E29" s="5" t="s">
        <v>1778</v>
      </c>
      <c r="F29" s="5" t="s">
        <v>1738</v>
      </c>
      <c r="G29" s="5" t="s">
        <v>1216</v>
      </c>
      <c r="H29" s="5" t="s">
        <v>1214</v>
      </c>
      <c r="I29" s="5" t="s">
        <v>1720</v>
      </c>
      <c r="J29" s="5" t="s">
        <v>1779</v>
      </c>
      <c r="K29" s="5"/>
    </row>
    <row r="30" spans="1:11" ht="24" x14ac:dyDescent="0.25">
      <c r="A30" s="5" t="s">
        <v>1780</v>
      </c>
      <c r="B30" s="5" t="s">
        <v>82</v>
      </c>
      <c r="C30" s="5" t="s">
        <v>1781</v>
      </c>
      <c r="D30" s="5" t="s">
        <v>1222</v>
      </c>
      <c r="E30" s="5" t="s">
        <v>1782</v>
      </c>
      <c r="F30" s="5" t="s">
        <v>1738</v>
      </c>
      <c r="G30" s="5" t="s">
        <v>1224</v>
      </c>
      <c r="H30" s="5" t="s">
        <v>1221</v>
      </c>
      <c r="I30" s="5" t="s">
        <v>1783</v>
      </c>
      <c r="J30" s="5" t="s">
        <v>1784</v>
      </c>
      <c r="K30" s="5"/>
    </row>
    <row r="31" spans="1:11" ht="24" x14ac:dyDescent="0.25">
      <c r="A31" s="5" t="s">
        <v>1785</v>
      </c>
      <c r="B31" s="5" t="s">
        <v>82</v>
      </c>
      <c r="C31" s="5" t="s">
        <v>1781</v>
      </c>
      <c r="D31" s="5" t="s">
        <v>1230</v>
      </c>
      <c r="E31" s="5" t="s">
        <v>1782</v>
      </c>
      <c r="F31" s="5" t="s">
        <v>1738</v>
      </c>
      <c r="G31" s="5" t="s">
        <v>1231</v>
      </c>
      <c r="H31" s="5" t="s">
        <v>1229</v>
      </c>
      <c r="I31" s="5" t="s">
        <v>1783</v>
      </c>
      <c r="J31" s="5" t="s">
        <v>1786</v>
      </c>
      <c r="K31" s="5"/>
    </row>
    <row r="32" spans="1:11" ht="24" x14ac:dyDescent="0.25">
      <c r="A32" s="5" t="s">
        <v>1787</v>
      </c>
      <c r="B32" s="5" t="s">
        <v>82</v>
      </c>
      <c r="C32" s="5" t="s">
        <v>1781</v>
      </c>
      <c r="D32" s="5" t="s">
        <v>1237</v>
      </c>
      <c r="E32" s="5" t="s">
        <v>1782</v>
      </c>
      <c r="F32" s="5" t="s">
        <v>1738</v>
      </c>
      <c r="G32" s="5" t="s">
        <v>1238</v>
      </c>
      <c r="H32" s="5" t="s">
        <v>1236</v>
      </c>
      <c r="I32" s="5" t="s">
        <v>1783</v>
      </c>
      <c r="J32" s="5" t="s">
        <v>1788</v>
      </c>
      <c r="K32" s="5"/>
    </row>
    <row r="33" spans="1:11" ht="24" x14ac:dyDescent="0.25">
      <c r="A33" s="5" t="s">
        <v>1789</v>
      </c>
      <c r="B33" s="5" t="s">
        <v>82</v>
      </c>
      <c r="C33" s="5" t="s">
        <v>1781</v>
      </c>
      <c r="D33" s="5" t="s">
        <v>1244</v>
      </c>
      <c r="E33" s="5" t="s">
        <v>1782</v>
      </c>
      <c r="F33" s="5" t="s">
        <v>1738</v>
      </c>
      <c r="G33" s="5" t="s">
        <v>1245</v>
      </c>
      <c r="H33" s="5" t="s">
        <v>1243</v>
      </c>
      <c r="I33" s="5" t="s">
        <v>1783</v>
      </c>
      <c r="J33" s="5" t="s">
        <v>1790</v>
      </c>
      <c r="K33" s="5"/>
    </row>
    <row r="34" spans="1:11" ht="24" x14ac:dyDescent="0.25">
      <c r="A34" s="5" t="s">
        <v>1791</v>
      </c>
      <c r="B34" s="5" t="s">
        <v>82</v>
      </c>
      <c r="C34" s="5" t="s">
        <v>1781</v>
      </c>
      <c r="D34" s="5" t="s">
        <v>1251</v>
      </c>
      <c r="E34" s="5" t="s">
        <v>1782</v>
      </c>
      <c r="F34" s="5" t="s">
        <v>1738</v>
      </c>
      <c r="G34" s="5" t="s">
        <v>1252</v>
      </c>
      <c r="H34" s="5" t="s">
        <v>1250</v>
      </c>
      <c r="I34" s="5" t="s">
        <v>1783</v>
      </c>
      <c r="J34" s="5" t="s">
        <v>1792</v>
      </c>
      <c r="K34" s="5"/>
    </row>
    <row r="35" spans="1:11" ht="24" x14ac:dyDescent="0.25">
      <c r="A35" s="5" t="s">
        <v>1793</v>
      </c>
      <c r="B35" s="5" t="s">
        <v>82</v>
      </c>
      <c r="C35" s="5" t="s">
        <v>1794</v>
      </c>
      <c r="D35" s="5" t="s">
        <v>1259</v>
      </c>
      <c r="E35" s="5" t="s">
        <v>1782</v>
      </c>
      <c r="F35" s="5" t="s">
        <v>1738</v>
      </c>
      <c r="G35" s="5" t="s">
        <v>1260</v>
      </c>
      <c r="H35" s="5" t="s">
        <v>1257</v>
      </c>
      <c r="I35" s="5" t="s">
        <v>1783</v>
      </c>
      <c r="J35" s="5" t="s">
        <v>1795</v>
      </c>
      <c r="K35" s="5"/>
    </row>
    <row r="36" spans="1:11" ht="24" x14ac:dyDescent="0.25">
      <c r="A36" s="5" t="s">
        <v>1796</v>
      </c>
      <c r="B36" s="5" t="s">
        <v>82</v>
      </c>
      <c r="C36" s="5" t="s">
        <v>1794</v>
      </c>
      <c r="D36" s="5" t="s">
        <v>1797</v>
      </c>
      <c r="E36" s="5" t="s">
        <v>1782</v>
      </c>
      <c r="F36" s="5" t="s">
        <v>1738</v>
      </c>
      <c r="G36" s="5" t="s">
        <v>1267</v>
      </c>
      <c r="H36" s="5" t="s">
        <v>1265</v>
      </c>
      <c r="I36" s="5" t="s">
        <v>1783</v>
      </c>
      <c r="J36" s="5" t="s">
        <v>1798</v>
      </c>
      <c r="K36" s="5"/>
    </row>
    <row r="37" spans="1:11" ht="24" x14ac:dyDescent="0.25">
      <c r="A37" s="5" t="s">
        <v>1799</v>
      </c>
      <c r="B37" s="5" t="s">
        <v>82</v>
      </c>
      <c r="C37" s="5" t="s">
        <v>1794</v>
      </c>
      <c r="D37" s="5" t="s">
        <v>1800</v>
      </c>
      <c r="E37" s="5" t="s">
        <v>1782</v>
      </c>
      <c r="F37" s="5" t="s">
        <v>1738</v>
      </c>
      <c r="G37" s="5" t="s">
        <v>1274</v>
      </c>
      <c r="H37" s="5" t="s">
        <v>1272</v>
      </c>
      <c r="I37" s="5" t="s">
        <v>1783</v>
      </c>
      <c r="J37" s="5" t="s">
        <v>1801</v>
      </c>
      <c r="K37" s="5"/>
    </row>
    <row r="38" spans="1:11" ht="24" x14ac:dyDescent="0.25">
      <c r="A38" s="5" t="s">
        <v>1802</v>
      </c>
      <c r="B38" s="5" t="s">
        <v>82</v>
      </c>
      <c r="C38" s="5" t="s">
        <v>1794</v>
      </c>
      <c r="D38" s="5" t="s">
        <v>1803</v>
      </c>
      <c r="E38" s="5" t="s">
        <v>1782</v>
      </c>
      <c r="F38" s="5" t="s">
        <v>1738</v>
      </c>
      <c r="G38" s="5" t="s">
        <v>1281</v>
      </c>
      <c r="H38" s="5" t="s">
        <v>1279</v>
      </c>
      <c r="I38" s="5" t="s">
        <v>1783</v>
      </c>
      <c r="J38" s="5" t="s">
        <v>1804</v>
      </c>
      <c r="K38" s="5"/>
    </row>
    <row r="39" spans="1:11" ht="24" x14ac:dyDescent="0.25">
      <c r="A39" s="5" t="s">
        <v>1805</v>
      </c>
      <c r="B39" s="5" t="s">
        <v>82</v>
      </c>
      <c r="C39" s="5" t="s">
        <v>1794</v>
      </c>
      <c r="D39" s="5" t="s">
        <v>1806</v>
      </c>
      <c r="E39" s="5" t="s">
        <v>1782</v>
      </c>
      <c r="F39" s="5" t="s">
        <v>1738</v>
      </c>
      <c r="G39" s="5" t="s">
        <v>1288</v>
      </c>
      <c r="H39" s="5" t="s">
        <v>1286</v>
      </c>
      <c r="I39" s="5" t="s">
        <v>1783</v>
      </c>
      <c r="J39" s="5" t="s">
        <v>1807</v>
      </c>
      <c r="K39" s="5"/>
    </row>
    <row r="40" spans="1:11" ht="24" x14ac:dyDescent="0.25">
      <c r="A40" s="5" t="s">
        <v>1808</v>
      </c>
      <c r="B40" s="5" t="s">
        <v>82</v>
      </c>
      <c r="C40" s="5" t="s">
        <v>1794</v>
      </c>
      <c r="D40" s="5" t="s">
        <v>1294</v>
      </c>
      <c r="E40" s="5" t="s">
        <v>1782</v>
      </c>
      <c r="F40" s="5" t="s">
        <v>1738</v>
      </c>
      <c r="G40" s="5" t="s">
        <v>1295</v>
      </c>
      <c r="H40" s="5" t="s">
        <v>1293</v>
      </c>
      <c r="I40" s="5" t="s">
        <v>1783</v>
      </c>
      <c r="J40" s="5" t="s">
        <v>1809</v>
      </c>
      <c r="K40" s="5"/>
    </row>
    <row r="41" spans="1:11" ht="24" x14ac:dyDescent="0.25">
      <c r="A41" s="5" t="s">
        <v>1810</v>
      </c>
      <c r="B41" s="5" t="s">
        <v>82</v>
      </c>
      <c r="C41" s="5" t="s">
        <v>1794</v>
      </c>
      <c r="D41" s="5" t="s">
        <v>1301</v>
      </c>
      <c r="E41" s="5" t="s">
        <v>1782</v>
      </c>
      <c r="F41" s="5" t="s">
        <v>1738</v>
      </c>
      <c r="G41" s="5" t="s">
        <v>1302</v>
      </c>
      <c r="H41" s="5" t="s">
        <v>1300</v>
      </c>
      <c r="I41" s="5" t="s">
        <v>1783</v>
      </c>
      <c r="J41" s="5" t="s">
        <v>1811</v>
      </c>
      <c r="K41" s="5"/>
    </row>
    <row r="42" spans="1:11" ht="48" x14ac:dyDescent="0.25">
      <c r="A42" s="5" t="s">
        <v>1812</v>
      </c>
      <c r="B42" s="5" t="s">
        <v>82</v>
      </c>
      <c r="C42" s="5" t="s">
        <v>1813</v>
      </c>
      <c r="D42" s="5" t="s">
        <v>449</v>
      </c>
      <c r="E42" s="5" t="s">
        <v>1778</v>
      </c>
      <c r="F42" s="5" t="s">
        <v>1738</v>
      </c>
      <c r="G42" s="5" t="s">
        <v>1208</v>
      </c>
      <c r="H42" s="5" t="s">
        <v>1814</v>
      </c>
      <c r="I42" s="5" t="s">
        <v>1720</v>
      </c>
      <c r="J42" s="5" t="s">
        <v>1815</v>
      </c>
      <c r="K42" s="5" t="s">
        <v>1816</v>
      </c>
    </row>
    <row r="43" spans="1:11" ht="24" x14ac:dyDescent="0.25">
      <c r="A43" s="5" t="s">
        <v>1817</v>
      </c>
      <c r="B43" s="5" t="s">
        <v>82</v>
      </c>
      <c r="C43" s="5" t="s">
        <v>1358</v>
      </c>
      <c r="D43" s="5" t="s">
        <v>1358</v>
      </c>
      <c r="E43" s="5" t="s">
        <v>1778</v>
      </c>
      <c r="F43" s="5" t="s">
        <v>1738</v>
      </c>
      <c r="G43" s="5" t="s">
        <v>1360</v>
      </c>
      <c r="H43" s="5" t="s">
        <v>1357</v>
      </c>
      <c r="I43" s="5" t="s">
        <v>1720</v>
      </c>
      <c r="J43" s="5" t="s">
        <v>1818</v>
      </c>
      <c r="K43" s="5"/>
    </row>
    <row r="44" spans="1:11" ht="24" x14ac:dyDescent="0.25">
      <c r="A44" s="5" t="s">
        <v>1819</v>
      </c>
      <c r="B44" s="5" t="s">
        <v>82</v>
      </c>
      <c r="C44" s="5" t="s">
        <v>1820</v>
      </c>
      <c r="D44" s="5" t="s">
        <v>1821</v>
      </c>
      <c r="E44" s="5" t="s">
        <v>1782</v>
      </c>
      <c r="F44" s="5" t="s">
        <v>1738</v>
      </c>
      <c r="G44" s="5" t="s">
        <v>1368</v>
      </c>
      <c r="H44" s="5" t="s">
        <v>1365</v>
      </c>
      <c r="I44" s="5" t="s">
        <v>1822</v>
      </c>
      <c r="J44" s="5" t="s">
        <v>1823</v>
      </c>
      <c r="K44" s="5"/>
    </row>
    <row r="45" spans="1:11" ht="24" x14ac:dyDescent="0.25">
      <c r="A45" s="5" t="s">
        <v>1824</v>
      </c>
      <c r="B45" s="5" t="s">
        <v>82</v>
      </c>
      <c r="C45" s="5" t="s">
        <v>1820</v>
      </c>
      <c r="D45" s="5" t="s">
        <v>1825</v>
      </c>
      <c r="E45" s="5" t="s">
        <v>1782</v>
      </c>
      <c r="F45" s="5" t="s">
        <v>1738</v>
      </c>
      <c r="G45" s="5" t="s">
        <v>1376</v>
      </c>
      <c r="H45" s="5" t="s">
        <v>1373</v>
      </c>
      <c r="I45" s="5" t="s">
        <v>1822</v>
      </c>
      <c r="J45" s="5" t="s">
        <v>1826</v>
      </c>
      <c r="K45" s="5"/>
    </row>
    <row r="46" spans="1:11" ht="24" x14ac:dyDescent="0.25">
      <c r="A46" s="5" t="s">
        <v>1827</v>
      </c>
      <c r="B46" s="5" t="s">
        <v>82</v>
      </c>
      <c r="C46" s="5" t="s">
        <v>1820</v>
      </c>
      <c r="D46" s="5" t="s">
        <v>1382</v>
      </c>
      <c r="E46" s="5" t="s">
        <v>1782</v>
      </c>
      <c r="F46" s="5" t="s">
        <v>1738</v>
      </c>
      <c r="G46" s="5" t="s">
        <v>1384</v>
      </c>
      <c r="H46" s="5" t="s">
        <v>1381</v>
      </c>
      <c r="I46" s="5" t="s">
        <v>1822</v>
      </c>
      <c r="J46" s="5" t="s">
        <v>1828</v>
      </c>
      <c r="K46" s="5"/>
    </row>
    <row r="47" spans="1:11" ht="24" x14ac:dyDescent="0.25">
      <c r="A47" s="5" t="s">
        <v>1829</v>
      </c>
      <c r="B47" s="5" t="s">
        <v>82</v>
      </c>
      <c r="C47" s="5" t="s">
        <v>1820</v>
      </c>
      <c r="D47" s="5" t="s">
        <v>1390</v>
      </c>
      <c r="E47" s="5" t="s">
        <v>1782</v>
      </c>
      <c r="F47" s="5" t="s">
        <v>1738</v>
      </c>
      <c r="G47" s="5" t="s">
        <v>1392</v>
      </c>
      <c r="H47" s="5" t="s">
        <v>1389</v>
      </c>
      <c r="I47" s="5" t="s">
        <v>1822</v>
      </c>
      <c r="J47" s="5" t="s">
        <v>1830</v>
      </c>
      <c r="K47" s="5"/>
    </row>
    <row r="48" spans="1:11" ht="24" x14ac:dyDescent="0.25">
      <c r="A48" s="5" t="s">
        <v>1831</v>
      </c>
      <c r="B48" s="5" t="s">
        <v>82</v>
      </c>
      <c r="C48" s="5" t="s">
        <v>1820</v>
      </c>
      <c r="D48" s="5" t="s">
        <v>1398</v>
      </c>
      <c r="E48" s="5" t="s">
        <v>1782</v>
      </c>
      <c r="F48" s="5" t="s">
        <v>1738</v>
      </c>
      <c r="G48" s="5" t="s">
        <v>1399</v>
      </c>
      <c r="H48" s="5" t="s">
        <v>1397</v>
      </c>
      <c r="I48" s="5" t="s">
        <v>1822</v>
      </c>
      <c r="J48" s="5" t="s">
        <v>1832</v>
      </c>
      <c r="K48" s="5"/>
    </row>
    <row r="49" spans="1:11" ht="24" x14ac:dyDescent="0.25">
      <c r="A49" s="5" t="s">
        <v>1833</v>
      </c>
      <c r="B49" s="5" t="s">
        <v>82</v>
      </c>
      <c r="C49" s="5" t="s">
        <v>1820</v>
      </c>
      <c r="D49" s="5" t="s">
        <v>1405</v>
      </c>
      <c r="E49" s="5" t="s">
        <v>1782</v>
      </c>
      <c r="F49" s="5" t="s">
        <v>1738</v>
      </c>
      <c r="G49" s="5" t="s">
        <v>1406</v>
      </c>
      <c r="H49" s="5" t="s">
        <v>1404</v>
      </c>
      <c r="I49" s="5" t="s">
        <v>1822</v>
      </c>
      <c r="J49" s="5" t="s">
        <v>1834</v>
      </c>
      <c r="K49" s="5"/>
    </row>
    <row r="50" spans="1:11" ht="24" x14ac:dyDescent="0.25">
      <c r="A50" s="5" t="s">
        <v>1835</v>
      </c>
      <c r="B50" s="5" t="s">
        <v>82</v>
      </c>
      <c r="C50" s="5" t="s">
        <v>1820</v>
      </c>
      <c r="D50" s="5" t="s">
        <v>1412</v>
      </c>
      <c r="E50" s="5" t="s">
        <v>1782</v>
      </c>
      <c r="F50" s="5" t="s">
        <v>1738</v>
      </c>
      <c r="G50" s="5" t="s">
        <v>1413</v>
      </c>
      <c r="H50" s="5" t="s">
        <v>1411</v>
      </c>
      <c r="I50" s="5" t="s">
        <v>1822</v>
      </c>
      <c r="J50" s="5" t="s">
        <v>1836</v>
      </c>
      <c r="K50" s="5"/>
    </row>
    <row r="51" spans="1:11" ht="24" x14ac:dyDescent="0.25">
      <c r="A51" s="5" t="s">
        <v>1837</v>
      </c>
      <c r="B51" s="5" t="s">
        <v>82</v>
      </c>
      <c r="C51" s="5" t="s">
        <v>1820</v>
      </c>
      <c r="D51" s="5" t="s">
        <v>1419</v>
      </c>
      <c r="E51" s="5" t="s">
        <v>1782</v>
      </c>
      <c r="F51" s="5" t="s">
        <v>1738</v>
      </c>
      <c r="G51" s="5" t="s">
        <v>1420</v>
      </c>
      <c r="H51" s="5" t="s">
        <v>1418</v>
      </c>
      <c r="I51" s="5" t="s">
        <v>1822</v>
      </c>
      <c r="J51" s="5" t="s">
        <v>1838</v>
      </c>
      <c r="K51" s="5"/>
    </row>
    <row r="52" spans="1:11" ht="24" x14ac:dyDescent="0.25">
      <c r="A52" s="5" t="s">
        <v>1839</v>
      </c>
      <c r="B52" s="5" t="s">
        <v>82</v>
      </c>
      <c r="C52" s="5" t="s">
        <v>1820</v>
      </c>
      <c r="D52" s="5" t="s">
        <v>1426</v>
      </c>
      <c r="E52" s="5" t="s">
        <v>1782</v>
      </c>
      <c r="F52" s="5" t="s">
        <v>1738</v>
      </c>
      <c r="G52" s="5" t="s">
        <v>1427</v>
      </c>
      <c r="H52" s="5" t="s">
        <v>1425</v>
      </c>
      <c r="I52" s="5" t="s">
        <v>1822</v>
      </c>
      <c r="J52" s="5" t="s">
        <v>1840</v>
      </c>
      <c r="K52" s="5"/>
    </row>
    <row r="53" spans="1:11" ht="24" x14ac:dyDescent="0.25">
      <c r="A53" s="5" t="s">
        <v>1841</v>
      </c>
      <c r="B53" s="5" t="s">
        <v>82</v>
      </c>
      <c r="C53" s="5" t="s">
        <v>1842</v>
      </c>
      <c r="D53" s="5" t="s">
        <v>1842</v>
      </c>
      <c r="E53" s="5" t="s">
        <v>1778</v>
      </c>
      <c r="F53" s="5" t="s">
        <v>1738</v>
      </c>
      <c r="G53" s="5" t="s">
        <v>1554</v>
      </c>
      <c r="H53" s="5" t="s">
        <v>1552</v>
      </c>
      <c r="I53" s="5" t="s">
        <v>1720</v>
      </c>
      <c r="J53" s="5" t="s">
        <v>1843</v>
      </c>
      <c r="K53" s="5"/>
    </row>
    <row r="54" spans="1:11" ht="24" x14ac:dyDescent="0.25">
      <c r="A54" s="5" t="s">
        <v>1844</v>
      </c>
      <c r="B54" s="5" t="s">
        <v>82</v>
      </c>
      <c r="C54" s="5" t="s">
        <v>1845</v>
      </c>
      <c r="D54" s="5" t="s">
        <v>16</v>
      </c>
      <c r="E54" s="5" t="s">
        <v>1846</v>
      </c>
      <c r="F54" s="5" t="s">
        <v>1748</v>
      </c>
      <c r="G54" s="5" t="s">
        <v>1847</v>
      </c>
      <c r="H54" s="5" t="s">
        <v>1499</v>
      </c>
      <c r="I54" s="5" t="s">
        <v>1848</v>
      </c>
      <c r="J54" s="5" t="s">
        <v>1849</v>
      </c>
      <c r="K54" s="5"/>
    </row>
    <row r="55" spans="1:11" ht="24" x14ac:dyDescent="0.25">
      <c r="A55" s="5" t="s">
        <v>1850</v>
      </c>
      <c r="B55" s="5" t="s">
        <v>82</v>
      </c>
      <c r="C55" s="5" t="s">
        <v>1845</v>
      </c>
      <c r="D55" s="5" t="s">
        <v>1851</v>
      </c>
      <c r="E55" s="5" t="s">
        <v>353</v>
      </c>
      <c r="F55" s="5" t="s">
        <v>1738</v>
      </c>
      <c r="G55" s="5" t="s">
        <v>1852</v>
      </c>
      <c r="H55" s="5" t="s">
        <v>1432</v>
      </c>
      <c r="I55" s="5" t="s">
        <v>1848</v>
      </c>
      <c r="J55" s="5" t="s">
        <v>1853</v>
      </c>
      <c r="K55" s="5"/>
    </row>
    <row r="56" spans="1:11" ht="24" x14ac:dyDescent="0.25">
      <c r="A56" s="5" t="s">
        <v>1854</v>
      </c>
      <c r="B56" s="5" t="s">
        <v>82</v>
      </c>
      <c r="C56" s="5" t="s">
        <v>1845</v>
      </c>
      <c r="D56" s="5" t="s">
        <v>562</v>
      </c>
      <c r="E56" s="5" t="s">
        <v>353</v>
      </c>
      <c r="F56" s="5" t="s">
        <v>1738</v>
      </c>
      <c r="G56" s="5" t="s">
        <v>1855</v>
      </c>
      <c r="H56" s="5" t="s">
        <v>1441</v>
      </c>
      <c r="I56" s="5" t="s">
        <v>1848</v>
      </c>
      <c r="J56" s="5" t="s">
        <v>1856</v>
      </c>
      <c r="K56" s="5"/>
    </row>
    <row r="57" spans="1:11" ht="24" x14ac:dyDescent="0.25">
      <c r="A57" s="5" t="s">
        <v>1857</v>
      </c>
      <c r="B57" s="5" t="s">
        <v>82</v>
      </c>
      <c r="C57" s="5" t="s">
        <v>1845</v>
      </c>
      <c r="D57" s="5" t="s">
        <v>5</v>
      </c>
      <c r="E57" s="5" t="s">
        <v>353</v>
      </c>
      <c r="F57" s="5" t="s">
        <v>1738</v>
      </c>
      <c r="G57" s="5" t="s">
        <v>1858</v>
      </c>
      <c r="H57" s="5" t="s">
        <v>1447</v>
      </c>
      <c r="I57" s="5" t="s">
        <v>1848</v>
      </c>
      <c r="J57" s="5" t="s">
        <v>1859</v>
      </c>
      <c r="K57" s="5"/>
    </row>
    <row r="58" spans="1:11" ht="24" x14ac:dyDescent="0.25">
      <c r="A58" s="5" t="s">
        <v>1860</v>
      </c>
      <c r="B58" s="5" t="s">
        <v>82</v>
      </c>
      <c r="C58" s="5" t="s">
        <v>1845</v>
      </c>
      <c r="D58" s="5" t="s">
        <v>1861</v>
      </c>
      <c r="E58" s="5" t="s">
        <v>1862</v>
      </c>
      <c r="F58" s="5" t="s">
        <v>1738</v>
      </c>
      <c r="G58" s="5" t="s">
        <v>1863</v>
      </c>
      <c r="H58" s="5" t="s">
        <v>1864</v>
      </c>
      <c r="I58" s="5" t="s">
        <v>1848</v>
      </c>
      <c r="J58" s="5" t="s">
        <v>1865</v>
      </c>
      <c r="K58" s="5"/>
    </row>
    <row r="59" spans="1:11" ht="24" x14ac:dyDescent="0.25">
      <c r="A59" s="5" t="s">
        <v>1866</v>
      </c>
      <c r="B59" s="5" t="s">
        <v>82</v>
      </c>
      <c r="C59" s="5" t="s">
        <v>1845</v>
      </c>
      <c r="D59" s="5" t="s">
        <v>1484</v>
      </c>
      <c r="E59" s="5" t="s">
        <v>1867</v>
      </c>
      <c r="F59" s="5" t="s">
        <v>1738</v>
      </c>
      <c r="G59" s="5" t="s">
        <v>1868</v>
      </c>
      <c r="H59" s="5" t="s">
        <v>1483</v>
      </c>
      <c r="I59" s="5" t="s">
        <v>1848</v>
      </c>
      <c r="J59" s="5" t="s">
        <v>1869</v>
      </c>
      <c r="K59" s="5"/>
    </row>
    <row r="60" spans="1:11" ht="24" x14ac:dyDescent="0.25">
      <c r="A60" s="5" t="s">
        <v>1870</v>
      </c>
      <c r="B60" s="5" t="s">
        <v>82</v>
      </c>
      <c r="C60" s="5" t="s">
        <v>1845</v>
      </c>
      <c r="D60" s="5" t="s">
        <v>1492</v>
      </c>
      <c r="E60" s="5" t="s">
        <v>1871</v>
      </c>
      <c r="F60" s="5" t="s">
        <v>1738</v>
      </c>
      <c r="G60" s="5" t="s">
        <v>1872</v>
      </c>
      <c r="H60" s="5" t="s">
        <v>1491</v>
      </c>
      <c r="I60" s="5" t="s">
        <v>1848</v>
      </c>
      <c r="J60" s="5" t="s">
        <v>1873</v>
      </c>
      <c r="K60" s="5"/>
    </row>
    <row r="61" spans="1:11" ht="24" x14ac:dyDescent="0.25">
      <c r="A61" s="5" t="s">
        <v>1874</v>
      </c>
      <c r="B61" s="5" t="s">
        <v>82</v>
      </c>
      <c r="C61" s="5" t="s">
        <v>1875</v>
      </c>
      <c r="D61" s="5" t="s">
        <v>1876</v>
      </c>
      <c r="E61" s="5" t="s">
        <v>1877</v>
      </c>
      <c r="F61" s="5" t="s">
        <v>1668</v>
      </c>
      <c r="G61" s="5" t="s">
        <v>106</v>
      </c>
      <c r="H61" s="5" t="s">
        <v>106</v>
      </c>
      <c r="I61" s="5" t="s">
        <v>1878</v>
      </c>
      <c r="J61" s="5" t="s">
        <v>1879</v>
      </c>
      <c r="K61" s="5"/>
    </row>
    <row r="62" spans="1:11" ht="24" x14ac:dyDescent="0.25">
      <c r="A62" s="5" t="s">
        <v>1880</v>
      </c>
      <c r="B62" s="5" t="s">
        <v>82</v>
      </c>
      <c r="C62" s="5" t="s">
        <v>1875</v>
      </c>
      <c r="D62" s="5" t="s">
        <v>1511</v>
      </c>
      <c r="E62" s="5" t="s">
        <v>1782</v>
      </c>
      <c r="F62" s="5" t="s">
        <v>1738</v>
      </c>
      <c r="G62" s="5" t="s">
        <v>1512</v>
      </c>
      <c r="H62" s="5" t="s">
        <v>1509</v>
      </c>
      <c r="I62" s="5" t="s">
        <v>1881</v>
      </c>
      <c r="J62" s="5" t="s">
        <v>1882</v>
      </c>
      <c r="K62" s="5"/>
    </row>
    <row r="63" spans="1:11" ht="24" x14ac:dyDescent="0.25">
      <c r="A63" s="5" t="s">
        <v>1883</v>
      </c>
      <c r="B63" s="5" t="s">
        <v>82</v>
      </c>
      <c r="C63" s="5" t="s">
        <v>1875</v>
      </c>
      <c r="D63" s="5" t="s">
        <v>1518</v>
      </c>
      <c r="E63" s="5" t="s">
        <v>1782</v>
      </c>
      <c r="F63" s="5" t="s">
        <v>1738</v>
      </c>
      <c r="G63" s="5" t="s">
        <v>1519</v>
      </c>
      <c r="H63" s="5" t="s">
        <v>1517</v>
      </c>
      <c r="I63" s="5" t="s">
        <v>1881</v>
      </c>
      <c r="J63" s="5" t="s">
        <v>1884</v>
      </c>
      <c r="K63" s="5"/>
    </row>
    <row r="64" spans="1:11" ht="24" x14ac:dyDescent="0.25">
      <c r="A64" s="5" t="s">
        <v>1885</v>
      </c>
      <c r="B64" s="5" t="s">
        <v>82</v>
      </c>
      <c r="C64" s="5" t="s">
        <v>1875</v>
      </c>
      <c r="D64" s="5" t="s">
        <v>1525</v>
      </c>
      <c r="E64" s="5" t="s">
        <v>1782</v>
      </c>
      <c r="F64" s="5" t="s">
        <v>1738</v>
      </c>
      <c r="G64" s="5" t="s">
        <v>1526</v>
      </c>
      <c r="H64" s="5" t="s">
        <v>1524</v>
      </c>
      <c r="I64" s="5" t="s">
        <v>1881</v>
      </c>
      <c r="J64" s="5" t="s">
        <v>1886</v>
      </c>
      <c r="K64" s="5"/>
    </row>
    <row r="65" spans="1:11" ht="24" x14ac:dyDescent="0.25">
      <c r="A65" s="5" t="s">
        <v>1887</v>
      </c>
      <c r="B65" s="5" t="s">
        <v>82</v>
      </c>
      <c r="C65" s="5" t="s">
        <v>1875</v>
      </c>
      <c r="D65" s="5" t="s">
        <v>1532</v>
      </c>
      <c r="E65" s="5" t="s">
        <v>1782</v>
      </c>
      <c r="F65" s="5" t="s">
        <v>1738</v>
      </c>
      <c r="G65" s="5" t="s">
        <v>1533</v>
      </c>
      <c r="H65" s="5" t="s">
        <v>1531</v>
      </c>
      <c r="I65" s="5" t="s">
        <v>1881</v>
      </c>
      <c r="J65" s="5" t="s">
        <v>1888</v>
      </c>
      <c r="K65" s="5"/>
    </row>
    <row r="66" spans="1:11" ht="24" x14ac:dyDescent="0.25">
      <c r="A66" s="5" t="s">
        <v>1889</v>
      </c>
      <c r="B66" s="5" t="s">
        <v>82</v>
      </c>
      <c r="C66" s="5" t="s">
        <v>1890</v>
      </c>
      <c r="D66" s="5" t="s">
        <v>1890</v>
      </c>
      <c r="E66" s="5" t="s">
        <v>1778</v>
      </c>
      <c r="F66" s="5" t="s">
        <v>1738</v>
      </c>
      <c r="G66" s="5" t="s">
        <v>1540</v>
      </c>
      <c r="H66" s="5" t="s">
        <v>1538</v>
      </c>
      <c r="I66" s="5" t="s">
        <v>1720</v>
      </c>
      <c r="J66" s="5" t="s">
        <v>1891</v>
      </c>
      <c r="K66" s="5"/>
    </row>
    <row r="67" spans="1:11" ht="24" x14ac:dyDescent="0.25">
      <c r="A67" s="5" t="s">
        <v>1892</v>
      </c>
      <c r="B67" s="5" t="s">
        <v>82</v>
      </c>
      <c r="C67" s="5" t="s">
        <v>1893</v>
      </c>
      <c r="D67" s="5" t="s">
        <v>1893</v>
      </c>
      <c r="E67" s="5" t="s">
        <v>1778</v>
      </c>
      <c r="F67" s="5" t="s">
        <v>1738</v>
      </c>
      <c r="G67" s="5" t="s">
        <v>1547</v>
      </c>
      <c r="H67" s="5" t="s">
        <v>1545</v>
      </c>
      <c r="I67" s="5" t="s">
        <v>1720</v>
      </c>
      <c r="J67" s="5" t="s">
        <v>1894</v>
      </c>
      <c r="K67" s="5"/>
    </row>
    <row r="68" spans="1:11" ht="24" x14ac:dyDescent="0.25">
      <c r="A68" s="5" t="s">
        <v>1895</v>
      </c>
      <c r="B68" s="5" t="s">
        <v>82</v>
      </c>
      <c r="C68" s="5" t="s">
        <v>1896</v>
      </c>
      <c r="D68" s="5" t="s">
        <v>1897</v>
      </c>
      <c r="E68" s="5" t="s">
        <v>1898</v>
      </c>
      <c r="F68" s="5" t="s">
        <v>1668</v>
      </c>
      <c r="G68" s="5" t="s">
        <v>106</v>
      </c>
      <c r="H68" s="5" t="s">
        <v>106</v>
      </c>
      <c r="I68" s="5" t="s">
        <v>29</v>
      </c>
      <c r="J68" s="5" t="s">
        <v>1899</v>
      </c>
      <c r="K68" s="5"/>
    </row>
    <row r="69" spans="1:11" ht="36" x14ac:dyDescent="0.25">
      <c r="A69" s="5" t="s">
        <v>1900</v>
      </c>
      <c r="B69" s="5" t="s">
        <v>82</v>
      </c>
      <c r="C69" s="5" t="s">
        <v>1896</v>
      </c>
      <c r="D69" s="5" t="s">
        <v>1901</v>
      </c>
      <c r="E69" s="5" t="s">
        <v>1902</v>
      </c>
      <c r="F69" s="5" t="s">
        <v>1903</v>
      </c>
      <c r="G69" s="5" t="s">
        <v>1904</v>
      </c>
      <c r="H69" s="5" t="s">
        <v>1905</v>
      </c>
      <c r="I69" s="5" t="s">
        <v>1906</v>
      </c>
      <c r="J69" s="5" t="s">
        <v>1907</v>
      </c>
      <c r="K69" s="5"/>
    </row>
    <row r="70" spans="1:11" ht="24" x14ac:dyDescent="0.25">
      <c r="A70" s="5" t="s">
        <v>1908</v>
      </c>
      <c r="B70" s="5" t="s">
        <v>82</v>
      </c>
      <c r="C70" s="5" t="s">
        <v>1896</v>
      </c>
      <c r="D70" s="5" t="s">
        <v>1566</v>
      </c>
      <c r="E70" s="5" t="s">
        <v>1909</v>
      </c>
      <c r="F70" s="5" t="s">
        <v>1910</v>
      </c>
      <c r="G70" s="5" t="s">
        <v>1911</v>
      </c>
      <c r="H70" s="5" t="s">
        <v>1564</v>
      </c>
      <c r="I70" s="5" t="s">
        <v>1912</v>
      </c>
      <c r="J70" s="5" t="s">
        <v>1913</v>
      </c>
      <c r="K70" s="5"/>
    </row>
    <row r="71" spans="1:11" ht="24" x14ac:dyDescent="0.25">
      <c r="A71" s="5" t="s">
        <v>1914</v>
      </c>
      <c r="B71" s="5" t="s">
        <v>82</v>
      </c>
      <c r="C71" s="5" t="s">
        <v>1896</v>
      </c>
      <c r="D71" s="5" t="s">
        <v>1577</v>
      </c>
      <c r="E71" s="5" t="s">
        <v>1909</v>
      </c>
      <c r="F71" s="5" t="s">
        <v>1910</v>
      </c>
      <c r="G71" s="5" t="s">
        <v>1915</v>
      </c>
      <c r="H71" s="5" t="s">
        <v>1576</v>
      </c>
      <c r="I71" s="5" t="s">
        <v>1912</v>
      </c>
      <c r="J71" s="5" t="s">
        <v>1916</v>
      </c>
      <c r="K71" s="5"/>
    </row>
    <row r="72" spans="1:11" ht="24" x14ac:dyDescent="0.25">
      <c r="A72" s="5" t="s">
        <v>1917</v>
      </c>
      <c r="B72" s="5" t="s">
        <v>82</v>
      </c>
      <c r="C72" s="5" t="s">
        <v>1896</v>
      </c>
      <c r="D72" s="5" t="s">
        <v>1918</v>
      </c>
      <c r="E72" s="5" t="s">
        <v>1714</v>
      </c>
      <c r="F72" s="5" t="s">
        <v>1678</v>
      </c>
      <c r="G72" s="5" t="s">
        <v>1597</v>
      </c>
      <c r="H72" s="5" t="s">
        <v>1594</v>
      </c>
      <c r="I72" s="5" t="s">
        <v>1919</v>
      </c>
      <c r="J72" s="5" t="s">
        <v>1920</v>
      </c>
      <c r="K72" s="5"/>
    </row>
    <row r="73" spans="1:11" ht="24" x14ac:dyDescent="0.25">
      <c r="A73" s="5" t="s">
        <v>1921</v>
      </c>
      <c r="B73" s="5" t="s">
        <v>82</v>
      </c>
      <c r="C73" s="5" t="s">
        <v>1922</v>
      </c>
      <c r="D73" s="5" t="s">
        <v>1923</v>
      </c>
      <c r="E73" s="5" t="s">
        <v>1924</v>
      </c>
      <c r="F73" s="5" t="s">
        <v>1636</v>
      </c>
      <c r="G73" s="5" t="s">
        <v>1925</v>
      </c>
      <c r="H73" s="5" t="s">
        <v>106</v>
      </c>
      <c r="I73" s="5" t="s">
        <v>1926</v>
      </c>
      <c r="J73" s="5" t="s">
        <v>1927</v>
      </c>
      <c r="K73" s="5" t="s">
        <v>1928</v>
      </c>
    </row>
    <row r="74" spans="1:11" ht="24" x14ac:dyDescent="0.25">
      <c r="A74" s="5" t="s">
        <v>1929</v>
      </c>
      <c r="B74" s="5" t="s">
        <v>82</v>
      </c>
      <c r="C74" s="5" t="s">
        <v>1922</v>
      </c>
      <c r="D74" s="5" t="s">
        <v>1930</v>
      </c>
      <c r="E74" s="5" t="s">
        <v>1931</v>
      </c>
      <c r="F74" s="5" t="s">
        <v>1622</v>
      </c>
      <c r="G74" s="5" t="s">
        <v>1932</v>
      </c>
      <c r="H74" s="5" t="s">
        <v>106</v>
      </c>
      <c r="I74" s="5" t="s">
        <v>1933</v>
      </c>
      <c r="J74" s="5" t="s">
        <v>1934</v>
      </c>
      <c r="K74" s="5"/>
    </row>
    <row r="75" spans="1:11" ht="24" x14ac:dyDescent="0.25">
      <c r="A75" s="5" t="s">
        <v>1935</v>
      </c>
      <c r="B75" s="5" t="s">
        <v>82</v>
      </c>
      <c r="C75" s="5" t="s">
        <v>1936</v>
      </c>
      <c r="D75" s="5" t="s">
        <v>1937</v>
      </c>
      <c r="E75" s="5" t="s">
        <v>1938</v>
      </c>
      <c r="F75" s="5" t="s">
        <v>1622</v>
      </c>
      <c r="G75" s="5" t="s">
        <v>1939</v>
      </c>
      <c r="H75" s="5" t="s">
        <v>106</v>
      </c>
      <c r="I75" s="5" t="s">
        <v>1663</v>
      </c>
      <c r="J75" s="5" t="s">
        <v>1940</v>
      </c>
      <c r="K75" s="5"/>
    </row>
    <row r="76" spans="1:11" ht="24" x14ac:dyDescent="0.25">
      <c r="A76" s="5" t="s">
        <v>1941</v>
      </c>
      <c r="B76" s="5" t="s">
        <v>82</v>
      </c>
      <c r="C76" s="5" t="s">
        <v>1936</v>
      </c>
      <c r="D76" s="5" t="s">
        <v>1169</v>
      </c>
      <c r="E76" s="5" t="s">
        <v>1942</v>
      </c>
      <c r="F76" s="5" t="s">
        <v>1622</v>
      </c>
      <c r="G76" s="5" t="s">
        <v>1943</v>
      </c>
      <c r="H76" s="5" t="s">
        <v>106</v>
      </c>
      <c r="I76" s="5" t="s">
        <v>1944</v>
      </c>
      <c r="J76" s="5" t="s">
        <v>1945</v>
      </c>
      <c r="K76" s="5"/>
    </row>
    <row r="77" spans="1:11" ht="24" x14ac:dyDescent="0.25">
      <c r="A77" s="5" t="s">
        <v>1946</v>
      </c>
      <c r="B77" s="5" t="s">
        <v>82</v>
      </c>
      <c r="C77" s="5" t="s">
        <v>1947</v>
      </c>
      <c r="D77" s="5" t="s">
        <v>1948</v>
      </c>
      <c r="E77" s="5" t="s">
        <v>1949</v>
      </c>
      <c r="F77" s="5" t="s">
        <v>1748</v>
      </c>
      <c r="G77" s="5" t="s">
        <v>106</v>
      </c>
      <c r="H77" s="5" t="s">
        <v>106</v>
      </c>
      <c r="I77" s="5" t="s">
        <v>29</v>
      </c>
      <c r="J77" s="5" t="s">
        <v>1950</v>
      </c>
      <c r="K77" s="5"/>
    </row>
    <row r="78" spans="1:11" ht="24" x14ac:dyDescent="0.25">
      <c r="A78" s="5" t="s">
        <v>1951</v>
      </c>
      <c r="B78" s="5" t="s">
        <v>82</v>
      </c>
      <c r="C78" s="5" t="s">
        <v>1952</v>
      </c>
      <c r="D78" s="5" t="s">
        <v>1953</v>
      </c>
      <c r="E78" s="5" t="s">
        <v>1954</v>
      </c>
      <c r="F78" s="5" t="s">
        <v>1709</v>
      </c>
      <c r="G78" s="5" t="s">
        <v>192</v>
      </c>
      <c r="H78" s="5" t="s">
        <v>187</v>
      </c>
      <c r="I78" s="5" t="s">
        <v>29</v>
      </c>
      <c r="J78" s="5" t="s">
        <v>1955</v>
      </c>
      <c r="K78" s="5"/>
    </row>
    <row r="79" spans="1:11" ht="24" x14ac:dyDescent="0.25">
      <c r="A79" s="5" t="s">
        <v>1956</v>
      </c>
      <c r="B79" s="5" t="s">
        <v>88</v>
      </c>
      <c r="C79" s="5" t="s">
        <v>1957</v>
      </c>
      <c r="D79" s="5" t="s">
        <v>1620</v>
      </c>
      <c r="E79" s="5" t="s">
        <v>1958</v>
      </c>
      <c r="F79" s="5" t="s">
        <v>1622</v>
      </c>
      <c r="G79" s="5" t="s">
        <v>1959</v>
      </c>
      <c r="H79" s="5" t="s">
        <v>106</v>
      </c>
      <c r="I79" s="5" t="s">
        <v>29</v>
      </c>
      <c r="J79" s="5" t="s">
        <v>1960</v>
      </c>
      <c r="K79" s="5"/>
    </row>
    <row r="80" spans="1:11" ht="24" x14ac:dyDescent="0.25">
      <c r="A80" s="5" t="s">
        <v>1961</v>
      </c>
      <c r="B80" s="5" t="s">
        <v>88</v>
      </c>
      <c r="C80" s="5" t="s">
        <v>1957</v>
      </c>
      <c r="D80" s="5" t="s">
        <v>1627</v>
      </c>
      <c r="E80" s="5" t="s">
        <v>1962</v>
      </c>
      <c r="F80" s="5" t="s">
        <v>1622</v>
      </c>
      <c r="G80" s="5" t="s">
        <v>1629</v>
      </c>
      <c r="H80" s="5" t="s">
        <v>106</v>
      </c>
      <c r="I80" s="5" t="s">
        <v>29</v>
      </c>
      <c r="J80" s="5" t="s">
        <v>1963</v>
      </c>
      <c r="K80" s="5"/>
    </row>
    <row r="81" spans="1:11" ht="24" x14ac:dyDescent="0.25">
      <c r="A81" s="5" t="s">
        <v>1964</v>
      </c>
      <c r="B81" s="5" t="s">
        <v>88</v>
      </c>
      <c r="C81" s="5" t="s">
        <v>1957</v>
      </c>
      <c r="D81" s="5" t="s">
        <v>1965</v>
      </c>
      <c r="E81" s="5" t="s">
        <v>1966</v>
      </c>
      <c r="F81" s="5" t="s">
        <v>1622</v>
      </c>
      <c r="G81" s="5" t="s">
        <v>1967</v>
      </c>
      <c r="H81" s="5" t="s">
        <v>106</v>
      </c>
      <c r="I81" s="5" t="s">
        <v>29</v>
      </c>
      <c r="J81" s="5" t="s">
        <v>1968</v>
      </c>
      <c r="K81" s="5"/>
    </row>
    <row r="82" spans="1:11" ht="24" x14ac:dyDescent="0.25">
      <c r="A82" s="5" t="s">
        <v>1969</v>
      </c>
      <c r="B82" s="5" t="s">
        <v>88</v>
      </c>
      <c r="C82" s="5" t="s">
        <v>1970</v>
      </c>
      <c r="D82" s="5" t="s">
        <v>1148</v>
      </c>
      <c r="E82" s="5" t="s">
        <v>1971</v>
      </c>
      <c r="F82" s="5" t="s">
        <v>1972</v>
      </c>
      <c r="G82" s="5" t="s">
        <v>1973</v>
      </c>
      <c r="H82" s="5" t="s">
        <v>163</v>
      </c>
      <c r="I82" s="5" t="s">
        <v>29</v>
      </c>
      <c r="J82" s="5" t="s">
        <v>1974</v>
      </c>
      <c r="K82" s="5"/>
    </row>
    <row r="83" spans="1:11" ht="24" x14ac:dyDescent="0.25">
      <c r="A83" s="5" t="s">
        <v>1975</v>
      </c>
      <c r="B83" s="5" t="s">
        <v>88</v>
      </c>
      <c r="C83" s="5" t="s">
        <v>1970</v>
      </c>
      <c r="D83" s="5" t="s">
        <v>199</v>
      </c>
      <c r="E83" s="5" t="s">
        <v>1976</v>
      </c>
      <c r="F83" s="5" t="s">
        <v>1972</v>
      </c>
      <c r="G83" s="5" t="s">
        <v>1977</v>
      </c>
      <c r="H83" s="5" t="s">
        <v>197</v>
      </c>
      <c r="I83" s="5" t="s">
        <v>29</v>
      </c>
      <c r="J83" s="5" t="s">
        <v>1978</v>
      </c>
      <c r="K83" s="5"/>
    </row>
    <row r="84" spans="1:11" ht="24" x14ac:dyDescent="0.25">
      <c r="A84" s="5" t="s">
        <v>1979</v>
      </c>
      <c r="B84" s="5" t="s">
        <v>88</v>
      </c>
      <c r="C84" s="5" t="s">
        <v>1980</v>
      </c>
      <c r="D84" s="5" t="s">
        <v>1981</v>
      </c>
      <c r="E84" s="5" t="s">
        <v>1982</v>
      </c>
      <c r="F84" s="5" t="s">
        <v>1972</v>
      </c>
      <c r="G84" s="5" t="s">
        <v>1983</v>
      </c>
      <c r="H84" s="5" t="s">
        <v>106</v>
      </c>
      <c r="I84" s="5" t="s">
        <v>29</v>
      </c>
      <c r="J84" s="5" t="s">
        <v>1984</v>
      </c>
      <c r="K84" s="5" t="s">
        <v>1985</v>
      </c>
    </row>
    <row r="85" spans="1:11" ht="24" x14ac:dyDescent="0.25">
      <c r="A85" s="5" t="s">
        <v>1986</v>
      </c>
      <c r="B85" s="5" t="s">
        <v>88</v>
      </c>
      <c r="C85" s="5" t="s">
        <v>1980</v>
      </c>
      <c r="D85" s="5" t="s">
        <v>1987</v>
      </c>
      <c r="E85" s="5" t="s">
        <v>1988</v>
      </c>
      <c r="F85" s="5" t="s">
        <v>1972</v>
      </c>
      <c r="G85" s="5" t="s">
        <v>1989</v>
      </c>
      <c r="H85" s="5" t="s">
        <v>106</v>
      </c>
      <c r="I85" s="5" t="s">
        <v>29</v>
      </c>
      <c r="J85" s="5" t="s">
        <v>1990</v>
      </c>
      <c r="K85" s="5"/>
    </row>
    <row r="86" spans="1:11" ht="24" x14ac:dyDescent="0.25">
      <c r="A86" s="5" t="s">
        <v>1991</v>
      </c>
      <c r="B86" s="5" t="s">
        <v>88</v>
      </c>
      <c r="C86" s="5" t="s">
        <v>1980</v>
      </c>
      <c r="D86" s="5" t="s">
        <v>1992</v>
      </c>
      <c r="E86" s="5" t="s">
        <v>1993</v>
      </c>
      <c r="F86" s="5" t="s">
        <v>1748</v>
      </c>
      <c r="G86" s="5" t="s">
        <v>1994</v>
      </c>
      <c r="H86" s="5" t="s">
        <v>106</v>
      </c>
      <c r="I86" s="5" t="s">
        <v>29</v>
      </c>
      <c r="J86" s="5" t="s">
        <v>1995</v>
      </c>
      <c r="K86" s="5"/>
    </row>
    <row r="87" spans="1:11" ht="24" x14ac:dyDescent="0.25">
      <c r="A87" s="5" t="s">
        <v>1996</v>
      </c>
      <c r="B87" s="5" t="s">
        <v>88</v>
      </c>
      <c r="C87" s="5" t="s">
        <v>1980</v>
      </c>
      <c r="D87" s="5" t="s">
        <v>1997</v>
      </c>
      <c r="E87" s="5" t="s">
        <v>1998</v>
      </c>
      <c r="F87" s="5" t="s">
        <v>1972</v>
      </c>
      <c r="G87" s="5" t="s">
        <v>1999</v>
      </c>
      <c r="H87" s="5" t="s">
        <v>106</v>
      </c>
      <c r="I87" s="5" t="s">
        <v>2000</v>
      </c>
      <c r="J87" s="5" t="s">
        <v>2001</v>
      </c>
      <c r="K87" s="5"/>
    </row>
    <row r="88" spans="1:11" ht="24" x14ac:dyDescent="0.25">
      <c r="A88" s="5" t="s">
        <v>2002</v>
      </c>
      <c r="B88" s="5" t="s">
        <v>88</v>
      </c>
      <c r="C88" s="5" t="s">
        <v>2003</v>
      </c>
      <c r="D88" s="5" t="s">
        <v>16</v>
      </c>
      <c r="E88" s="5" t="s">
        <v>2004</v>
      </c>
      <c r="F88" s="5" t="s">
        <v>1748</v>
      </c>
      <c r="G88" s="5" t="s">
        <v>106</v>
      </c>
      <c r="H88" s="5" t="s">
        <v>106</v>
      </c>
      <c r="I88" s="5" t="s">
        <v>29</v>
      </c>
      <c r="J88" s="5" t="s">
        <v>2005</v>
      </c>
      <c r="K88" s="5"/>
    </row>
    <row r="89" spans="1:11" ht="36" x14ac:dyDescent="0.25">
      <c r="A89" s="5" t="s">
        <v>2006</v>
      </c>
      <c r="B89" s="5" t="s">
        <v>88</v>
      </c>
      <c r="C89" s="5" t="s">
        <v>2003</v>
      </c>
      <c r="D89" s="5" t="s">
        <v>2007</v>
      </c>
      <c r="E89" s="5" t="s">
        <v>2008</v>
      </c>
      <c r="F89" s="5" t="s">
        <v>2009</v>
      </c>
      <c r="G89" s="5" t="s">
        <v>2010</v>
      </c>
      <c r="H89" s="5" t="s">
        <v>2011</v>
      </c>
      <c r="I89" s="5" t="s">
        <v>2012</v>
      </c>
      <c r="J89" s="5" t="s">
        <v>2013</v>
      </c>
      <c r="K89" s="5" t="s">
        <v>2014</v>
      </c>
    </row>
    <row r="90" spans="1:11" ht="24" x14ac:dyDescent="0.25">
      <c r="A90" s="5" t="s">
        <v>2015</v>
      </c>
      <c r="B90" s="5" t="s">
        <v>88</v>
      </c>
      <c r="C90" s="5" t="s">
        <v>2003</v>
      </c>
      <c r="D90" s="5" t="s">
        <v>978</v>
      </c>
      <c r="E90" s="5" t="s">
        <v>2016</v>
      </c>
      <c r="F90" s="5" t="s">
        <v>2009</v>
      </c>
      <c r="G90" s="5" t="s">
        <v>2017</v>
      </c>
      <c r="H90" s="5" t="s">
        <v>977</v>
      </c>
      <c r="I90" s="5" t="s">
        <v>2018</v>
      </c>
      <c r="J90" s="5" t="s">
        <v>2019</v>
      </c>
      <c r="K90" s="5"/>
    </row>
    <row r="91" spans="1:11" ht="24" x14ac:dyDescent="0.25">
      <c r="A91" s="5" t="s">
        <v>2020</v>
      </c>
      <c r="B91" s="5" t="s">
        <v>88</v>
      </c>
      <c r="C91" s="5" t="s">
        <v>2021</v>
      </c>
      <c r="D91" s="5" t="s">
        <v>2022</v>
      </c>
      <c r="E91" s="5" t="s">
        <v>2023</v>
      </c>
      <c r="F91" s="5" t="s">
        <v>1972</v>
      </c>
      <c r="G91" s="5" t="s">
        <v>2024</v>
      </c>
      <c r="H91" s="5" t="s">
        <v>999</v>
      </c>
      <c r="I91" s="5" t="s">
        <v>29</v>
      </c>
      <c r="J91" s="5" t="s">
        <v>2025</v>
      </c>
      <c r="K91" s="5"/>
    </row>
    <row r="92" spans="1:11" ht="24" x14ac:dyDescent="0.25">
      <c r="A92" s="5" t="s">
        <v>2026</v>
      </c>
      <c r="B92" s="5" t="s">
        <v>88</v>
      </c>
      <c r="C92" s="5" t="s">
        <v>2021</v>
      </c>
      <c r="D92" s="5" t="s">
        <v>2027</v>
      </c>
      <c r="E92" s="5" t="s">
        <v>2028</v>
      </c>
      <c r="F92" s="5" t="s">
        <v>1972</v>
      </c>
      <c r="G92" s="5" t="s">
        <v>2029</v>
      </c>
      <c r="H92" s="5" t="s">
        <v>999</v>
      </c>
      <c r="I92" s="5" t="s">
        <v>29</v>
      </c>
      <c r="J92" s="5" t="s">
        <v>2030</v>
      </c>
      <c r="K92" s="5"/>
    </row>
    <row r="93" spans="1:11" ht="24" x14ac:dyDescent="0.25">
      <c r="A93" s="5" t="s">
        <v>2031</v>
      </c>
      <c r="B93" s="5" t="s">
        <v>88</v>
      </c>
      <c r="C93" s="5" t="s">
        <v>2032</v>
      </c>
      <c r="D93" s="5" t="s">
        <v>2033</v>
      </c>
      <c r="E93" s="5" t="s">
        <v>2034</v>
      </c>
      <c r="F93" s="5" t="s">
        <v>2035</v>
      </c>
      <c r="G93" s="5" t="s">
        <v>2036</v>
      </c>
      <c r="H93" s="5" t="s">
        <v>106</v>
      </c>
      <c r="I93" s="5" t="s">
        <v>29</v>
      </c>
      <c r="J93" s="5" t="s">
        <v>2037</v>
      </c>
      <c r="K93" s="5"/>
    </row>
    <row r="94" spans="1:11" ht="24" x14ac:dyDescent="0.25">
      <c r="A94" s="5" t="s">
        <v>2038</v>
      </c>
      <c r="B94" s="5" t="s">
        <v>88</v>
      </c>
      <c r="C94" s="5" t="s">
        <v>2032</v>
      </c>
      <c r="D94" s="5" t="s">
        <v>115</v>
      </c>
      <c r="E94" s="5" t="s">
        <v>2039</v>
      </c>
      <c r="F94" s="5" t="s">
        <v>2035</v>
      </c>
      <c r="G94" s="5" t="s">
        <v>2040</v>
      </c>
      <c r="H94" s="5" t="s">
        <v>106</v>
      </c>
      <c r="I94" s="5" t="s">
        <v>29</v>
      </c>
      <c r="J94" s="5" t="s">
        <v>2041</v>
      </c>
      <c r="K94" s="5"/>
    </row>
    <row r="95" spans="1:11" ht="24" x14ac:dyDescent="0.25">
      <c r="A95" s="5" t="s">
        <v>2042</v>
      </c>
      <c r="B95" s="5" t="s">
        <v>88</v>
      </c>
      <c r="C95" s="5" t="s">
        <v>2032</v>
      </c>
      <c r="D95" s="5" t="s">
        <v>2043</v>
      </c>
      <c r="E95" s="5" t="s">
        <v>2044</v>
      </c>
      <c r="F95" s="5" t="s">
        <v>2045</v>
      </c>
      <c r="G95" s="5" t="s">
        <v>1629</v>
      </c>
      <c r="H95" s="5" t="s">
        <v>106</v>
      </c>
      <c r="I95" s="5" t="s">
        <v>29</v>
      </c>
      <c r="J95" s="5" t="s">
        <v>2046</v>
      </c>
      <c r="K95" s="5"/>
    </row>
    <row r="96" spans="1:11" ht="24" x14ac:dyDescent="0.25">
      <c r="A96" s="5" t="s">
        <v>2047</v>
      </c>
      <c r="B96" s="5" t="s">
        <v>94</v>
      </c>
      <c r="C96" s="5" t="s">
        <v>1957</v>
      </c>
      <c r="D96" s="5" t="s">
        <v>1620</v>
      </c>
      <c r="E96" s="5" t="s">
        <v>1958</v>
      </c>
      <c r="F96" s="5" t="s">
        <v>1622</v>
      </c>
      <c r="G96" s="5" t="s">
        <v>1959</v>
      </c>
      <c r="H96" s="5" t="s">
        <v>106</v>
      </c>
      <c r="I96" s="5" t="s">
        <v>29</v>
      </c>
      <c r="J96" s="5" t="s">
        <v>2048</v>
      </c>
      <c r="K96" s="5"/>
    </row>
    <row r="97" spans="1:11" ht="24" x14ac:dyDescent="0.25">
      <c r="A97" s="5" t="s">
        <v>2049</v>
      </c>
      <c r="B97" s="5" t="s">
        <v>94</v>
      </c>
      <c r="C97" s="5" t="s">
        <v>1957</v>
      </c>
      <c r="D97" s="5" t="s">
        <v>1627</v>
      </c>
      <c r="E97" s="5" t="s">
        <v>1962</v>
      </c>
      <c r="F97" s="5" t="s">
        <v>1622</v>
      </c>
      <c r="G97" s="5" t="s">
        <v>1629</v>
      </c>
      <c r="H97" s="5" t="s">
        <v>106</v>
      </c>
      <c r="I97" s="5" t="s">
        <v>29</v>
      </c>
      <c r="J97" s="5" t="s">
        <v>2050</v>
      </c>
      <c r="K97" s="5"/>
    </row>
    <row r="98" spans="1:11" ht="24" x14ac:dyDescent="0.25">
      <c r="A98" s="5" t="s">
        <v>2051</v>
      </c>
      <c r="B98" s="5" t="s">
        <v>94</v>
      </c>
      <c r="C98" s="5" t="s">
        <v>1957</v>
      </c>
      <c r="D98" s="5" t="s">
        <v>1965</v>
      </c>
      <c r="E98" s="5" t="s">
        <v>1966</v>
      </c>
      <c r="F98" s="5" t="s">
        <v>1622</v>
      </c>
      <c r="G98" s="5" t="s">
        <v>1967</v>
      </c>
      <c r="H98" s="5" t="s">
        <v>106</v>
      </c>
      <c r="I98" s="5" t="s">
        <v>29</v>
      </c>
      <c r="J98" s="5" t="s">
        <v>2052</v>
      </c>
      <c r="K98" s="5"/>
    </row>
    <row r="99" spans="1:11" ht="24" x14ac:dyDescent="0.25">
      <c r="A99" s="5" t="s">
        <v>2053</v>
      </c>
      <c r="B99" s="5" t="s">
        <v>94</v>
      </c>
      <c r="C99" s="5" t="s">
        <v>1957</v>
      </c>
      <c r="D99" s="5" t="s">
        <v>2054</v>
      </c>
      <c r="E99" s="5" t="s">
        <v>2055</v>
      </c>
      <c r="F99" s="5" t="s">
        <v>1668</v>
      </c>
      <c r="G99" s="5" t="s">
        <v>106</v>
      </c>
      <c r="H99" s="5" t="s">
        <v>106</v>
      </c>
      <c r="I99" s="5" t="s">
        <v>29</v>
      </c>
      <c r="J99" s="5" t="s">
        <v>2056</v>
      </c>
      <c r="K99" s="5"/>
    </row>
    <row r="100" spans="1:11" ht="24" x14ac:dyDescent="0.25">
      <c r="A100" s="5" t="s">
        <v>2057</v>
      </c>
      <c r="B100" s="5" t="s">
        <v>94</v>
      </c>
      <c r="C100" s="5" t="s">
        <v>2058</v>
      </c>
      <c r="D100" s="5" t="s">
        <v>1148</v>
      </c>
      <c r="E100" s="5" t="s">
        <v>2059</v>
      </c>
      <c r="F100" s="5" t="s">
        <v>2060</v>
      </c>
      <c r="G100" s="5" t="s">
        <v>2061</v>
      </c>
      <c r="H100" s="5" t="s">
        <v>163</v>
      </c>
      <c r="I100" s="5" t="s">
        <v>29</v>
      </c>
      <c r="J100" s="5" t="s">
        <v>2062</v>
      </c>
      <c r="K100" s="5"/>
    </row>
    <row r="101" spans="1:11" ht="24" x14ac:dyDescent="0.25">
      <c r="A101" s="5" t="s">
        <v>2063</v>
      </c>
      <c r="B101" s="5" t="s">
        <v>94</v>
      </c>
      <c r="C101" s="5" t="s">
        <v>2058</v>
      </c>
      <c r="D101" s="5" t="s">
        <v>199</v>
      </c>
      <c r="E101" s="5" t="s">
        <v>1976</v>
      </c>
      <c r="F101" s="5" t="s">
        <v>2060</v>
      </c>
      <c r="G101" s="5" t="s">
        <v>2064</v>
      </c>
      <c r="H101" s="5" t="s">
        <v>197</v>
      </c>
      <c r="I101" s="5" t="s">
        <v>29</v>
      </c>
      <c r="J101" s="5" t="s">
        <v>2065</v>
      </c>
      <c r="K101" s="5"/>
    </row>
    <row r="102" spans="1:11" ht="36" x14ac:dyDescent="0.25">
      <c r="A102" s="5" t="s">
        <v>2066</v>
      </c>
      <c r="B102" s="5" t="s">
        <v>94</v>
      </c>
      <c r="C102" s="5" t="s">
        <v>2058</v>
      </c>
      <c r="D102" s="5" t="s">
        <v>2067</v>
      </c>
      <c r="E102" s="5" t="s">
        <v>2068</v>
      </c>
      <c r="F102" s="5" t="s">
        <v>2060</v>
      </c>
      <c r="G102" s="5" t="s">
        <v>2069</v>
      </c>
      <c r="H102" s="5" t="s">
        <v>681</v>
      </c>
      <c r="I102" s="5" t="s">
        <v>1912</v>
      </c>
      <c r="J102" s="5" t="s">
        <v>2070</v>
      </c>
      <c r="K102" s="5" t="s">
        <v>2071</v>
      </c>
    </row>
    <row r="103" spans="1:11" ht="24" x14ac:dyDescent="0.25">
      <c r="A103" s="5" t="s">
        <v>2072</v>
      </c>
      <c r="B103" s="5" t="s">
        <v>94</v>
      </c>
      <c r="C103" s="5" t="s">
        <v>2073</v>
      </c>
      <c r="D103" s="5" t="s">
        <v>2074</v>
      </c>
      <c r="E103" s="5" t="s">
        <v>2075</v>
      </c>
      <c r="F103" s="5" t="s">
        <v>2060</v>
      </c>
      <c r="G103" s="5" t="s">
        <v>699</v>
      </c>
      <c r="H103" s="5" t="s">
        <v>696</v>
      </c>
      <c r="I103" s="5" t="s">
        <v>29</v>
      </c>
      <c r="J103" s="5" t="s">
        <v>2076</v>
      </c>
      <c r="K103" s="5"/>
    </row>
    <row r="104" spans="1:11" ht="24" x14ac:dyDescent="0.25">
      <c r="A104" s="5" t="s">
        <v>2077</v>
      </c>
      <c r="B104" s="5" t="s">
        <v>94</v>
      </c>
      <c r="C104" s="5" t="s">
        <v>2073</v>
      </c>
      <c r="D104" s="5" t="s">
        <v>2078</v>
      </c>
      <c r="E104" s="5" t="s">
        <v>2079</v>
      </c>
      <c r="F104" s="5" t="s">
        <v>2060</v>
      </c>
      <c r="G104" s="5" t="s">
        <v>729</v>
      </c>
      <c r="H104" s="5" t="s">
        <v>727</v>
      </c>
      <c r="I104" s="5" t="s">
        <v>29</v>
      </c>
      <c r="J104" s="5" t="s">
        <v>2080</v>
      </c>
      <c r="K104" s="5"/>
    </row>
    <row r="105" spans="1:11" ht="24" x14ac:dyDescent="0.25">
      <c r="A105" s="5" t="s">
        <v>2081</v>
      </c>
      <c r="B105" s="5" t="s">
        <v>94</v>
      </c>
      <c r="C105" s="5" t="s">
        <v>2073</v>
      </c>
      <c r="D105" s="5" t="s">
        <v>2082</v>
      </c>
      <c r="E105" s="5" t="s">
        <v>2083</v>
      </c>
      <c r="F105" s="5" t="s">
        <v>2060</v>
      </c>
      <c r="G105" s="5" t="s">
        <v>2084</v>
      </c>
      <c r="H105" s="5" t="s">
        <v>106</v>
      </c>
      <c r="I105" s="5" t="s">
        <v>1912</v>
      </c>
      <c r="J105" s="5" t="s">
        <v>2085</v>
      </c>
      <c r="K105" s="5"/>
    </row>
    <row r="106" spans="1:11" ht="24" x14ac:dyDescent="0.25">
      <c r="A106" s="5" t="s">
        <v>2086</v>
      </c>
      <c r="B106" s="5" t="s">
        <v>94</v>
      </c>
      <c r="C106" s="5" t="s">
        <v>2073</v>
      </c>
      <c r="D106" s="5" t="s">
        <v>2087</v>
      </c>
      <c r="E106" s="5" t="s">
        <v>2088</v>
      </c>
      <c r="F106" s="5" t="s">
        <v>2060</v>
      </c>
      <c r="G106" s="5" t="s">
        <v>2089</v>
      </c>
      <c r="H106" s="5" t="s">
        <v>106</v>
      </c>
      <c r="I106" s="5" t="s">
        <v>1912</v>
      </c>
      <c r="J106" s="5" t="s">
        <v>2090</v>
      </c>
      <c r="K106" s="5"/>
    </row>
    <row r="107" spans="1:11" ht="24" x14ac:dyDescent="0.25">
      <c r="A107" s="5" t="s">
        <v>2091</v>
      </c>
      <c r="B107" s="5" t="s">
        <v>94</v>
      </c>
      <c r="C107" s="5" t="s">
        <v>2092</v>
      </c>
      <c r="D107" s="5" t="s">
        <v>2093</v>
      </c>
      <c r="E107" s="5" t="s">
        <v>2094</v>
      </c>
      <c r="F107" s="5" t="s">
        <v>2060</v>
      </c>
      <c r="G107" s="5" t="s">
        <v>707</v>
      </c>
      <c r="H107" s="5" t="s">
        <v>2095</v>
      </c>
      <c r="I107" s="5" t="s">
        <v>2096</v>
      </c>
      <c r="J107" s="5" t="s">
        <v>2097</v>
      </c>
      <c r="K107" s="5"/>
    </row>
    <row r="108" spans="1:11" ht="24" x14ac:dyDescent="0.25">
      <c r="A108" s="5" t="s">
        <v>2098</v>
      </c>
      <c r="B108" s="5" t="s">
        <v>94</v>
      </c>
      <c r="C108" s="5" t="s">
        <v>2092</v>
      </c>
      <c r="D108" s="5" t="s">
        <v>2099</v>
      </c>
      <c r="E108" s="5" t="s">
        <v>2100</v>
      </c>
      <c r="F108" s="5" t="s">
        <v>2060</v>
      </c>
      <c r="G108" s="5" t="s">
        <v>2101</v>
      </c>
      <c r="H108" s="5" t="s">
        <v>106</v>
      </c>
      <c r="I108" s="5" t="s">
        <v>2102</v>
      </c>
      <c r="J108" s="5" t="s">
        <v>2103</v>
      </c>
      <c r="K108" s="5"/>
    </row>
    <row r="109" spans="1:11" ht="24" x14ac:dyDescent="0.25">
      <c r="A109" s="5" t="s">
        <v>2104</v>
      </c>
      <c r="B109" s="5" t="s">
        <v>94</v>
      </c>
      <c r="C109" s="5" t="s">
        <v>2105</v>
      </c>
      <c r="D109" s="5" t="s">
        <v>2106</v>
      </c>
      <c r="E109" s="5" t="s">
        <v>353</v>
      </c>
      <c r="F109" s="5" t="s">
        <v>2060</v>
      </c>
      <c r="G109" s="5" t="s">
        <v>2107</v>
      </c>
      <c r="H109" s="5" t="s">
        <v>106</v>
      </c>
      <c r="I109" s="5" t="s">
        <v>2108</v>
      </c>
      <c r="J109" s="5" t="s">
        <v>2109</v>
      </c>
      <c r="K109" s="5" t="s">
        <v>2110</v>
      </c>
    </row>
    <row r="110" spans="1:11" ht="24" x14ac:dyDescent="0.25">
      <c r="A110" s="5" t="s">
        <v>2111</v>
      </c>
      <c r="B110" s="5" t="s">
        <v>94</v>
      </c>
      <c r="C110" s="5" t="s">
        <v>2105</v>
      </c>
      <c r="D110" s="5" t="s">
        <v>2112</v>
      </c>
      <c r="E110" s="5" t="s">
        <v>353</v>
      </c>
      <c r="F110" s="5" t="s">
        <v>2060</v>
      </c>
      <c r="G110" s="5" t="s">
        <v>2113</v>
      </c>
      <c r="H110" s="5" t="s">
        <v>106</v>
      </c>
      <c r="I110" s="5" t="s">
        <v>2108</v>
      </c>
      <c r="J110" s="5" t="s">
        <v>2114</v>
      </c>
      <c r="K110" s="5" t="s">
        <v>2110</v>
      </c>
    </row>
    <row r="111" spans="1:11" ht="24" x14ac:dyDescent="0.25">
      <c r="A111" s="5" t="s">
        <v>2115</v>
      </c>
      <c r="B111" s="5" t="s">
        <v>94</v>
      </c>
      <c r="C111" s="5" t="s">
        <v>2105</v>
      </c>
      <c r="D111" s="5" t="s">
        <v>2116</v>
      </c>
      <c r="E111" s="5" t="s">
        <v>353</v>
      </c>
      <c r="F111" s="5" t="s">
        <v>2060</v>
      </c>
      <c r="G111" s="5" t="s">
        <v>2117</v>
      </c>
      <c r="H111" s="5" t="s">
        <v>106</v>
      </c>
      <c r="I111" s="5" t="s">
        <v>2108</v>
      </c>
      <c r="J111" s="5" t="s">
        <v>2118</v>
      </c>
      <c r="K111" s="5" t="s">
        <v>2110</v>
      </c>
    </row>
    <row r="112" spans="1:11" ht="24" x14ac:dyDescent="0.25">
      <c r="A112" s="5" t="s">
        <v>2119</v>
      </c>
      <c r="B112" s="5" t="s">
        <v>94</v>
      </c>
      <c r="C112" s="5" t="s">
        <v>2105</v>
      </c>
      <c r="D112" s="5" t="s">
        <v>2120</v>
      </c>
      <c r="E112" s="5" t="s">
        <v>353</v>
      </c>
      <c r="F112" s="5" t="s">
        <v>2060</v>
      </c>
      <c r="G112" s="5" t="s">
        <v>2121</v>
      </c>
      <c r="H112" s="5" t="s">
        <v>106</v>
      </c>
      <c r="I112" s="5" t="s">
        <v>2108</v>
      </c>
      <c r="J112" s="5" t="s">
        <v>2122</v>
      </c>
      <c r="K112" s="5" t="s">
        <v>2110</v>
      </c>
    </row>
    <row r="113" spans="1:11" ht="24" x14ac:dyDescent="0.25">
      <c r="A113" s="5" t="s">
        <v>2123</v>
      </c>
      <c r="B113" s="5" t="s">
        <v>94</v>
      </c>
      <c r="C113" s="5" t="s">
        <v>2105</v>
      </c>
      <c r="D113" s="5" t="s">
        <v>2124</v>
      </c>
      <c r="E113" s="5" t="s">
        <v>2125</v>
      </c>
      <c r="F113" s="5" t="s">
        <v>2060</v>
      </c>
      <c r="G113" s="5" t="s">
        <v>2126</v>
      </c>
      <c r="H113" s="5" t="s">
        <v>106</v>
      </c>
      <c r="I113" s="5" t="s">
        <v>2108</v>
      </c>
      <c r="J113" s="5" t="s">
        <v>2127</v>
      </c>
      <c r="K113" s="5"/>
    </row>
    <row r="114" spans="1:11" ht="24" x14ac:dyDescent="0.25">
      <c r="A114" s="5" t="s">
        <v>2128</v>
      </c>
      <c r="B114" s="5" t="s">
        <v>94</v>
      </c>
      <c r="C114" s="5" t="s">
        <v>2032</v>
      </c>
      <c r="D114" s="5" t="s">
        <v>2129</v>
      </c>
      <c r="E114" s="5" t="s">
        <v>2130</v>
      </c>
      <c r="F114" s="5" t="s">
        <v>2131</v>
      </c>
      <c r="G114" s="5" t="s">
        <v>2040</v>
      </c>
      <c r="H114" s="5" t="s">
        <v>106</v>
      </c>
      <c r="I114" s="5" t="s">
        <v>29</v>
      </c>
      <c r="J114" s="5" t="s">
        <v>2132</v>
      </c>
      <c r="K114" s="5"/>
    </row>
    <row r="115" spans="1:11" ht="24" x14ac:dyDescent="0.25">
      <c r="A115" s="5" t="s">
        <v>2133</v>
      </c>
      <c r="B115" s="5" t="s">
        <v>94</v>
      </c>
      <c r="C115" s="5" t="s">
        <v>2032</v>
      </c>
      <c r="D115" s="5" t="s">
        <v>2134</v>
      </c>
      <c r="E115" s="5" t="s">
        <v>2135</v>
      </c>
      <c r="F115" s="5" t="s">
        <v>1668</v>
      </c>
      <c r="G115" s="5" t="s">
        <v>106</v>
      </c>
      <c r="H115" s="5" t="s">
        <v>106</v>
      </c>
      <c r="I115" s="5" t="s">
        <v>29</v>
      </c>
      <c r="J115" s="5" t="s">
        <v>2136</v>
      </c>
      <c r="K115" s="5"/>
    </row>
    <row r="116" spans="1:11" ht="24" x14ac:dyDescent="0.25">
      <c r="A116" s="5" t="s">
        <v>2137</v>
      </c>
      <c r="B116" s="5" t="s">
        <v>99</v>
      </c>
      <c r="C116" s="5" t="s">
        <v>1957</v>
      </c>
      <c r="D116" s="5" t="s">
        <v>2138</v>
      </c>
      <c r="E116" s="5" t="s">
        <v>2139</v>
      </c>
      <c r="F116" s="5" t="s">
        <v>2140</v>
      </c>
      <c r="G116" s="5" t="s">
        <v>2141</v>
      </c>
      <c r="H116" s="5" t="s">
        <v>106</v>
      </c>
      <c r="I116" s="5" t="s">
        <v>29</v>
      </c>
      <c r="J116" s="5" t="s">
        <v>2142</v>
      </c>
      <c r="K116" s="5"/>
    </row>
    <row r="117" spans="1:11" x14ac:dyDescent="0.25">
      <c r="A117" s="5" t="s">
        <v>2143</v>
      </c>
      <c r="B117" s="5" t="s">
        <v>99</v>
      </c>
      <c r="C117" s="5" t="s">
        <v>2144</v>
      </c>
      <c r="D117" s="5" t="s">
        <v>2145</v>
      </c>
      <c r="E117" s="5" t="s">
        <v>2146</v>
      </c>
      <c r="F117" s="5" t="s">
        <v>2147</v>
      </c>
      <c r="G117" s="5" t="s">
        <v>2148</v>
      </c>
      <c r="H117" s="5" t="s">
        <v>2149</v>
      </c>
      <c r="I117" s="5" t="s">
        <v>29</v>
      </c>
      <c r="J117" s="5" t="s">
        <v>2150</v>
      </c>
      <c r="K117" s="5"/>
    </row>
    <row r="118" spans="1:11" ht="24" x14ac:dyDescent="0.25">
      <c r="A118" s="5" t="s">
        <v>2151</v>
      </c>
      <c r="B118" s="5" t="s">
        <v>99</v>
      </c>
      <c r="C118" s="5" t="s">
        <v>2144</v>
      </c>
      <c r="D118" s="5" t="s">
        <v>2152</v>
      </c>
      <c r="E118" s="5" t="s">
        <v>2153</v>
      </c>
      <c r="F118" s="5" t="s">
        <v>2147</v>
      </c>
      <c r="G118" s="5" t="s">
        <v>2154</v>
      </c>
      <c r="H118" s="5" t="s">
        <v>213</v>
      </c>
      <c r="I118" s="5" t="s">
        <v>1912</v>
      </c>
      <c r="J118" s="5" t="s">
        <v>2155</v>
      </c>
      <c r="K118" s="5" t="s">
        <v>2156</v>
      </c>
    </row>
    <row r="119" spans="1:11" x14ac:dyDescent="0.25">
      <c r="A119" s="5" t="s">
        <v>2157</v>
      </c>
      <c r="B119" s="5" t="s">
        <v>99</v>
      </c>
      <c r="C119" s="5" t="s">
        <v>2144</v>
      </c>
      <c r="D119" s="5" t="s">
        <v>2158</v>
      </c>
      <c r="E119" s="5" t="s">
        <v>2159</v>
      </c>
      <c r="F119" s="5" t="s">
        <v>2147</v>
      </c>
      <c r="G119" s="5" t="s">
        <v>2160</v>
      </c>
      <c r="H119" s="5" t="s">
        <v>106</v>
      </c>
      <c r="I119" s="5" t="s">
        <v>29</v>
      </c>
      <c r="J119" s="5" t="s">
        <v>2161</v>
      </c>
      <c r="K119" s="5"/>
    </row>
    <row r="120" spans="1:11" ht="36" x14ac:dyDescent="0.25">
      <c r="A120" s="5" t="s">
        <v>2162</v>
      </c>
      <c r="B120" s="5" t="s">
        <v>99</v>
      </c>
      <c r="C120" s="5" t="s">
        <v>2144</v>
      </c>
      <c r="D120" s="5" t="s">
        <v>2163</v>
      </c>
      <c r="E120" s="5" t="s">
        <v>2164</v>
      </c>
      <c r="F120" s="5" t="s">
        <v>2147</v>
      </c>
      <c r="G120" s="5" t="s">
        <v>2165</v>
      </c>
      <c r="H120" s="5" t="s">
        <v>106</v>
      </c>
      <c r="I120" s="5" t="s">
        <v>2166</v>
      </c>
      <c r="J120" s="5" t="s">
        <v>2167</v>
      </c>
      <c r="K120" s="5" t="s">
        <v>2168</v>
      </c>
    </row>
    <row r="121" spans="1:11" ht="24" x14ac:dyDescent="0.25">
      <c r="A121" s="5" t="s">
        <v>2169</v>
      </c>
      <c r="B121" s="5" t="s">
        <v>99</v>
      </c>
      <c r="C121" s="5" t="s">
        <v>2170</v>
      </c>
      <c r="D121" s="5" t="s">
        <v>2171</v>
      </c>
      <c r="E121" s="5" t="s">
        <v>2172</v>
      </c>
      <c r="F121" s="5" t="s">
        <v>2147</v>
      </c>
      <c r="G121" s="5" t="s">
        <v>2165</v>
      </c>
      <c r="H121" s="5" t="s">
        <v>106</v>
      </c>
      <c r="I121" s="5" t="s">
        <v>2166</v>
      </c>
      <c r="J121" s="5" t="s">
        <v>2173</v>
      </c>
      <c r="K121" s="5" t="s">
        <v>2174</v>
      </c>
    </row>
  </sheetData>
  <autoFilter ref="A1:K121" xr:uid="{00000000-0009-0000-0000-000002000000}"/>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192"/>
  <sheetViews>
    <sheetView tabSelected="1" zoomScale="90" workbookViewId="0">
      <pane xSplit="4" ySplit="1" topLeftCell="E179" activePane="bottomRight" state="frozen"/>
      <selection pane="topRight"/>
      <selection pane="bottomLeft"/>
      <selection pane="bottomRight" activeCell="E191" activeCellId="1" sqref="E187:E189 E191"/>
    </sheetView>
  </sheetViews>
  <sheetFormatPr defaultRowHeight="15" x14ac:dyDescent="0.25"/>
  <cols>
    <col min="1" max="1" width="9" customWidth="1"/>
    <col min="2" max="2" width="16" customWidth="1"/>
    <col min="3" max="3" width="22" customWidth="1"/>
    <col min="4" max="4" width="26" customWidth="1"/>
    <col min="5" max="5" width="32" customWidth="1"/>
    <col min="6" max="6" width="18" customWidth="1"/>
    <col min="7" max="7" width="44" customWidth="1"/>
    <col min="8" max="8" width="36" customWidth="1"/>
    <col min="9" max="9" width="28" customWidth="1"/>
    <col min="10" max="10" width="26" customWidth="1"/>
    <col min="11" max="11" width="56" customWidth="1"/>
    <col min="12" max="12" width="48" customWidth="1"/>
    <col min="13" max="13" width="58" customWidth="1"/>
  </cols>
  <sheetData>
    <row r="1" spans="1:13" ht="30" customHeight="1" x14ac:dyDescent="0.25">
      <c r="A1" s="11" t="s">
        <v>2175</v>
      </c>
      <c r="B1" s="11" t="s">
        <v>17</v>
      </c>
      <c r="C1" s="11" t="s">
        <v>149</v>
      </c>
      <c r="D1" s="11" t="s">
        <v>150</v>
      </c>
      <c r="E1" s="11" t="s">
        <v>2176</v>
      </c>
      <c r="F1" s="11" t="s">
        <v>142</v>
      </c>
      <c r="G1" s="11" t="s">
        <v>82</v>
      </c>
      <c r="H1" s="11" t="s">
        <v>88</v>
      </c>
      <c r="I1" s="11" t="s">
        <v>94</v>
      </c>
      <c r="J1" s="11" t="s">
        <v>99</v>
      </c>
      <c r="K1" s="11" t="s">
        <v>2177</v>
      </c>
      <c r="L1" s="11" t="s">
        <v>160</v>
      </c>
      <c r="M1" s="11" t="s">
        <v>1617</v>
      </c>
    </row>
    <row r="2" spans="1:13" ht="96" x14ac:dyDescent="0.25">
      <c r="A2" s="5" t="s">
        <v>163</v>
      </c>
      <c r="B2" s="5" t="s">
        <v>24</v>
      </c>
      <c r="C2" s="5" t="s">
        <v>164</v>
      </c>
      <c r="D2" s="5" t="s">
        <v>165</v>
      </c>
      <c r="E2" s="20" t="s">
        <v>169</v>
      </c>
      <c r="F2" s="12" t="s">
        <v>115</v>
      </c>
      <c r="G2" s="5" t="s">
        <v>2178</v>
      </c>
      <c r="H2" s="5" t="s">
        <v>2179</v>
      </c>
      <c r="I2" s="5" t="s">
        <v>2180</v>
      </c>
      <c r="J2" s="5" t="s">
        <v>2181</v>
      </c>
      <c r="K2" s="5" t="s">
        <v>2182</v>
      </c>
      <c r="L2" s="5" t="s">
        <v>174</v>
      </c>
      <c r="M2" s="5" t="s">
        <v>2183</v>
      </c>
    </row>
    <row r="3" spans="1:13" ht="24" x14ac:dyDescent="0.25">
      <c r="A3" s="5" t="s">
        <v>177</v>
      </c>
      <c r="B3" s="5" t="s">
        <v>24</v>
      </c>
      <c r="C3" s="5" t="s">
        <v>164</v>
      </c>
      <c r="D3" s="5" t="s">
        <v>178</v>
      </c>
      <c r="E3" s="20" t="s">
        <v>182</v>
      </c>
      <c r="F3" s="13" t="s">
        <v>121</v>
      </c>
      <c r="G3" s="5" t="s">
        <v>106</v>
      </c>
      <c r="H3" s="5" t="s">
        <v>106</v>
      </c>
      <c r="I3" s="5" t="s">
        <v>106</v>
      </c>
      <c r="J3" s="5" t="s">
        <v>106</v>
      </c>
      <c r="K3" s="5" t="s">
        <v>2184</v>
      </c>
      <c r="L3" s="5" t="s">
        <v>184</v>
      </c>
      <c r="M3" s="5" t="s">
        <v>106</v>
      </c>
    </row>
    <row r="4" spans="1:13" ht="72" x14ac:dyDescent="0.25">
      <c r="A4" s="5" t="s">
        <v>187</v>
      </c>
      <c r="B4" s="5" t="s">
        <v>24</v>
      </c>
      <c r="C4" s="5" t="s">
        <v>164</v>
      </c>
      <c r="D4" s="5" t="s">
        <v>188</v>
      </c>
      <c r="E4" s="20" t="s">
        <v>192</v>
      </c>
      <c r="F4" s="12" t="s">
        <v>115</v>
      </c>
      <c r="G4" s="5" t="s">
        <v>2185</v>
      </c>
      <c r="H4" s="5" t="s">
        <v>106</v>
      </c>
      <c r="I4" s="5" t="s">
        <v>106</v>
      </c>
      <c r="J4" s="5" t="s">
        <v>106</v>
      </c>
      <c r="K4" s="5" t="s">
        <v>2182</v>
      </c>
      <c r="L4" s="5" t="s">
        <v>194</v>
      </c>
      <c r="M4" s="5" t="s">
        <v>2186</v>
      </c>
    </row>
    <row r="5" spans="1:13" ht="96" x14ac:dyDescent="0.25">
      <c r="A5" s="5" t="s">
        <v>197</v>
      </c>
      <c r="B5" s="5" t="s">
        <v>24</v>
      </c>
      <c r="C5" s="5" t="s">
        <v>198</v>
      </c>
      <c r="D5" s="5" t="s">
        <v>199</v>
      </c>
      <c r="E5" s="20" t="s">
        <v>200</v>
      </c>
      <c r="F5" s="12" t="s">
        <v>115</v>
      </c>
      <c r="G5" s="5" t="s">
        <v>2187</v>
      </c>
      <c r="H5" s="5" t="s">
        <v>2188</v>
      </c>
      <c r="I5" s="5" t="s">
        <v>2189</v>
      </c>
      <c r="J5" s="5" t="s">
        <v>2181</v>
      </c>
      <c r="K5" s="5" t="s">
        <v>2182</v>
      </c>
      <c r="L5" s="5" t="s">
        <v>202</v>
      </c>
      <c r="M5" s="5" t="s">
        <v>2190</v>
      </c>
    </row>
    <row r="6" spans="1:13" ht="36" x14ac:dyDescent="0.25">
      <c r="A6" s="5" t="s">
        <v>205</v>
      </c>
      <c r="B6" s="5" t="s">
        <v>24</v>
      </c>
      <c r="C6" s="5" t="s">
        <v>198</v>
      </c>
      <c r="D6" s="5" t="s">
        <v>206</v>
      </c>
      <c r="E6" s="20" t="s">
        <v>208</v>
      </c>
      <c r="F6" s="12" t="s">
        <v>115</v>
      </c>
      <c r="G6" s="5" t="s">
        <v>2191</v>
      </c>
      <c r="H6" s="5" t="s">
        <v>106</v>
      </c>
      <c r="I6" s="5" t="s">
        <v>106</v>
      </c>
      <c r="J6" s="5" t="s">
        <v>106</v>
      </c>
      <c r="K6" s="5" t="s">
        <v>2192</v>
      </c>
      <c r="L6" s="5" t="s">
        <v>210</v>
      </c>
      <c r="M6" s="5" t="s">
        <v>1694</v>
      </c>
    </row>
    <row r="7" spans="1:13" ht="84" x14ac:dyDescent="0.25">
      <c r="A7" s="5" t="s">
        <v>213</v>
      </c>
      <c r="B7" s="5" t="s">
        <v>24</v>
      </c>
      <c r="C7" s="5" t="s">
        <v>198</v>
      </c>
      <c r="D7" s="5" t="s">
        <v>214</v>
      </c>
      <c r="E7" s="20" t="s">
        <v>216</v>
      </c>
      <c r="F7" s="12" t="s">
        <v>115</v>
      </c>
      <c r="G7" s="5" t="s">
        <v>2193</v>
      </c>
      <c r="H7" s="5" t="s">
        <v>106</v>
      </c>
      <c r="I7" s="5" t="s">
        <v>106</v>
      </c>
      <c r="J7" s="5" t="s">
        <v>2194</v>
      </c>
      <c r="K7" s="5" t="s">
        <v>2182</v>
      </c>
      <c r="L7" s="5" t="s">
        <v>219</v>
      </c>
      <c r="M7" s="5" t="s">
        <v>2195</v>
      </c>
    </row>
    <row r="8" spans="1:13" ht="36" x14ac:dyDescent="0.25">
      <c r="A8" s="5" t="s">
        <v>222</v>
      </c>
      <c r="B8" s="5" t="s">
        <v>24</v>
      </c>
      <c r="C8" s="5" t="s">
        <v>198</v>
      </c>
      <c r="D8" s="5" t="s">
        <v>223</v>
      </c>
      <c r="E8" s="20" t="s">
        <v>225</v>
      </c>
      <c r="F8" s="12" t="s">
        <v>115</v>
      </c>
      <c r="G8" s="5" t="s">
        <v>2196</v>
      </c>
      <c r="H8" s="5" t="s">
        <v>106</v>
      </c>
      <c r="I8" s="5" t="s">
        <v>106</v>
      </c>
      <c r="J8" s="5" t="s">
        <v>106</v>
      </c>
      <c r="K8" s="5" t="s">
        <v>2197</v>
      </c>
      <c r="L8" s="5" t="s">
        <v>227</v>
      </c>
      <c r="M8" s="5" t="s">
        <v>1727</v>
      </c>
    </row>
    <row r="9" spans="1:13" ht="24" x14ac:dyDescent="0.25">
      <c r="A9" s="5" t="s">
        <v>230</v>
      </c>
      <c r="B9" s="5" t="s">
        <v>24</v>
      </c>
      <c r="C9" s="5" t="s">
        <v>198</v>
      </c>
      <c r="D9" s="5" t="s">
        <v>231</v>
      </c>
      <c r="E9" s="20" t="s">
        <v>235</v>
      </c>
      <c r="F9" s="13" t="s">
        <v>121</v>
      </c>
      <c r="G9" s="5" t="s">
        <v>106</v>
      </c>
      <c r="H9" s="5" t="s">
        <v>106</v>
      </c>
      <c r="I9" s="5" t="s">
        <v>106</v>
      </c>
      <c r="J9" s="5" t="s">
        <v>106</v>
      </c>
      <c r="K9" s="5" t="s">
        <v>2198</v>
      </c>
      <c r="L9" s="5" t="s">
        <v>237</v>
      </c>
      <c r="M9" s="5" t="s">
        <v>106</v>
      </c>
    </row>
    <row r="10" spans="1:13" ht="24" x14ac:dyDescent="0.25">
      <c r="A10" s="5" t="s">
        <v>240</v>
      </c>
      <c r="B10" s="5" t="s">
        <v>24</v>
      </c>
      <c r="C10" s="5" t="s">
        <v>198</v>
      </c>
      <c r="D10" s="5" t="s">
        <v>241</v>
      </c>
      <c r="E10" s="5" t="s">
        <v>106</v>
      </c>
      <c r="F10" s="14" t="s">
        <v>123</v>
      </c>
      <c r="G10" s="5" t="s">
        <v>106</v>
      </c>
      <c r="H10" s="5" t="s">
        <v>106</v>
      </c>
      <c r="I10" s="5" t="s">
        <v>106</v>
      </c>
      <c r="J10" s="5" t="s">
        <v>106</v>
      </c>
      <c r="K10" s="5" t="s">
        <v>2199</v>
      </c>
      <c r="L10" s="5" t="s">
        <v>247</v>
      </c>
      <c r="M10" s="5" t="s">
        <v>106</v>
      </c>
    </row>
    <row r="11" spans="1:13" ht="36" x14ac:dyDescent="0.25">
      <c r="A11" s="5" t="s">
        <v>248</v>
      </c>
      <c r="B11" s="5" t="s">
        <v>30</v>
      </c>
      <c r="C11" s="5" t="s">
        <v>249</v>
      </c>
      <c r="D11" s="5" t="s">
        <v>250</v>
      </c>
      <c r="E11" s="20" t="s">
        <v>252</v>
      </c>
      <c r="F11" s="15" t="s">
        <v>119</v>
      </c>
      <c r="G11" s="5" t="s">
        <v>106</v>
      </c>
      <c r="H11" s="5" t="s">
        <v>106</v>
      </c>
      <c r="I11" s="5" t="s">
        <v>106</v>
      </c>
      <c r="J11" s="5" t="s">
        <v>106</v>
      </c>
      <c r="K11" s="5" t="s">
        <v>2200</v>
      </c>
      <c r="L11" s="5" t="s">
        <v>255</v>
      </c>
      <c r="M11" s="5" t="s">
        <v>106</v>
      </c>
    </row>
    <row r="12" spans="1:13" ht="36" x14ac:dyDescent="0.25">
      <c r="A12" s="5" t="s">
        <v>258</v>
      </c>
      <c r="B12" s="5" t="s">
        <v>30</v>
      </c>
      <c r="C12" s="5" t="s">
        <v>249</v>
      </c>
      <c r="D12" s="5" t="s">
        <v>259</v>
      </c>
      <c r="E12" s="20" t="s">
        <v>260</v>
      </c>
      <c r="F12" s="12" t="s">
        <v>115</v>
      </c>
      <c r="G12" s="5" t="s">
        <v>2201</v>
      </c>
      <c r="H12" s="5" t="s">
        <v>106</v>
      </c>
      <c r="I12" s="5" t="s">
        <v>106</v>
      </c>
      <c r="J12" s="5" t="s">
        <v>106</v>
      </c>
      <c r="K12" s="5" t="s">
        <v>2202</v>
      </c>
      <c r="L12" s="5" t="s">
        <v>262</v>
      </c>
      <c r="M12" s="5" t="s">
        <v>1716</v>
      </c>
    </row>
    <row r="13" spans="1:13" ht="48" x14ac:dyDescent="0.25">
      <c r="A13" s="5" t="s">
        <v>265</v>
      </c>
      <c r="B13" s="5" t="s">
        <v>30</v>
      </c>
      <c r="C13" s="5" t="s">
        <v>249</v>
      </c>
      <c r="D13" s="5" t="s">
        <v>266</v>
      </c>
      <c r="E13" s="20" t="s">
        <v>268</v>
      </c>
      <c r="F13" s="15" t="s">
        <v>119</v>
      </c>
      <c r="G13" s="5" t="s">
        <v>106</v>
      </c>
      <c r="H13" s="5" t="s">
        <v>106</v>
      </c>
      <c r="I13" s="5" t="s">
        <v>106</v>
      </c>
      <c r="J13" s="5" t="s">
        <v>106</v>
      </c>
      <c r="K13" s="5" t="s">
        <v>2203</v>
      </c>
      <c r="L13" s="5" t="s">
        <v>270</v>
      </c>
      <c r="M13" s="5" t="s">
        <v>106</v>
      </c>
    </row>
    <row r="14" spans="1:13" ht="36" x14ac:dyDescent="0.25">
      <c r="A14" s="5" t="s">
        <v>273</v>
      </c>
      <c r="B14" s="5" t="s">
        <v>30</v>
      </c>
      <c r="C14" s="5" t="s">
        <v>249</v>
      </c>
      <c r="D14" s="5" t="s">
        <v>274</v>
      </c>
      <c r="E14" s="20" t="s">
        <v>276</v>
      </c>
      <c r="F14" s="12" t="s">
        <v>115</v>
      </c>
      <c r="G14" s="5" t="s">
        <v>2204</v>
      </c>
      <c r="H14" s="5" t="s">
        <v>106</v>
      </c>
      <c r="I14" s="5" t="s">
        <v>106</v>
      </c>
      <c r="J14" s="5" t="s">
        <v>106</v>
      </c>
      <c r="K14" s="5" t="s">
        <v>2205</v>
      </c>
      <c r="L14" s="5" t="s">
        <v>278</v>
      </c>
      <c r="M14" s="5" t="s">
        <v>1721</v>
      </c>
    </row>
    <row r="15" spans="1:13" ht="48" x14ac:dyDescent="0.25">
      <c r="A15" s="5" t="s">
        <v>281</v>
      </c>
      <c r="B15" s="5" t="s">
        <v>30</v>
      </c>
      <c r="C15" s="5" t="s">
        <v>249</v>
      </c>
      <c r="D15" s="5" t="s">
        <v>282</v>
      </c>
      <c r="E15" s="20" t="s">
        <v>284</v>
      </c>
      <c r="F15" s="15" t="s">
        <v>119</v>
      </c>
      <c r="G15" s="5" t="s">
        <v>106</v>
      </c>
      <c r="H15" s="5" t="s">
        <v>106</v>
      </c>
      <c r="I15" s="5" t="s">
        <v>106</v>
      </c>
      <c r="J15" s="5" t="s">
        <v>106</v>
      </c>
      <c r="K15" s="5" t="s">
        <v>2206</v>
      </c>
      <c r="L15" s="5" t="s">
        <v>286</v>
      </c>
      <c r="M15" s="5" t="s">
        <v>106</v>
      </c>
    </row>
    <row r="16" spans="1:13" ht="48" x14ac:dyDescent="0.25">
      <c r="A16" s="5" t="s">
        <v>289</v>
      </c>
      <c r="B16" s="5" t="s">
        <v>30</v>
      </c>
      <c r="C16" s="5" t="s">
        <v>249</v>
      </c>
      <c r="D16" s="5" t="s">
        <v>290</v>
      </c>
      <c r="E16" s="20" t="s">
        <v>291</v>
      </c>
      <c r="F16" s="16" t="s">
        <v>117</v>
      </c>
      <c r="G16" s="5" t="s">
        <v>2207</v>
      </c>
      <c r="H16" s="5" t="s">
        <v>106</v>
      </c>
      <c r="I16" s="5" t="s">
        <v>106</v>
      </c>
      <c r="J16" s="5" t="s">
        <v>106</v>
      </c>
      <c r="K16" s="5" t="s">
        <v>2208</v>
      </c>
      <c r="L16" s="5" t="s">
        <v>293</v>
      </c>
      <c r="M16" s="5" t="s">
        <v>1815</v>
      </c>
    </row>
    <row r="17" spans="1:13" ht="36" x14ac:dyDescent="0.25">
      <c r="A17" s="5" t="s">
        <v>296</v>
      </c>
      <c r="B17" s="5" t="s">
        <v>30</v>
      </c>
      <c r="C17" s="5" t="s">
        <v>249</v>
      </c>
      <c r="D17" s="5" t="s">
        <v>297</v>
      </c>
      <c r="E17" s="20" t="s">
        <v>298</v>
      </c>
      <c r="F17" s="15" t="s">
        <v>119</v>
      </c>
      <c r="G17" s="5" t="s">
        <v>106</v>
      </c>
      <c r="H17" s="5" t="s">
        <v>106</v>
      </c>
      <c r="I17" s="5" t="s">
        <v>106</v>
      </c>
      <c r="J17" s="5" t="s">
        <v>106</v>
      </c>
      <c r="K17" s="5" t="s">
        <v>2209</v>
      </c>
      <c r="L17" s="5" t="s">
        <v>300</v>
      </c>
      <c r="M17" s="5" t="s">
        <v>106</v>
      </c>
    </row>
    <row r="18" spans="1:13" ht="48" x14ac:dyDescent="0.25">
      <c r="A18" s="5" t="s">
        <v>303</v>
      </c>
      <c r="B18" s="5" t="s">
        <v>30</v>
      </c>
      <c r="C18" s="5" t="s">
        <v>249</v>
      </c>
      <c r="D18" s="5" t="s">
        <v>304</v>
      </c>
      <c r="E18" s="20" t="s">
        <v>305</v>
      </c>
      <c r="F18" s="15" t="s">
        <v>119</v>
      </c>
      <c r="G18" s="5" t="s">
        <v>106</v>
      </c>
      <c r="H18" s="5" t="s">
        <v>106</v>
      </c>
      <c r="I18" s="5" t="s">
        <v>106</v>
      </c>
      <c r="J18" s="5" t="s">
        <v>106</v>
      </c>
      <c r="K18" s="5" t="s">
        <v>2210</v>
      </c>
      <c r="L18" s="5" t="s">
        <v>307</v>
      </c>
      <c r="M18" s="5" t="s">
        <v>106</v>
      </c>
    </row>
    <row r="19" spans="1:13" x14ac:dyDescent="0.25">
      <c r="A19" s="5" t="s">
        <v>310</v>
      </c>
      <c r="B19" s="5" t="s">
        <v>30</v>
      </c>
      <c r="C19" s="5" t="s">
        <v>249</v>
      </c>
      <c r="D19" s="5" t="s">
        <v>311</v>
      </c>
      <c r="E19" s="5" t="s">
        <v>106</v>
      </c>
      <c r="F19" s="14" t="s">
        <v>123</v>
      </c>
      <c r="G19" s="5" t="s">
        <v>106</v>
      </c>
      <c r="H19" s="5" t="s">
        <v>106</v>
      </c>
      <c r="I19" s="5" t="s">
        <v>106</v>
      </c>
      <c r="J19" s="5" t="s">
        <v>106</v>
      </c>
      <c r="K19" s="5" t="s">
        <v>2199</v>
      </c>
      <c r="L19" s="5" t="s">
        <v>314</v>
      </c>
      <c r="M19" s="5" t="s">
        <v>106</v>
      </c>
    </row>
    <row r="20" spans="1:13" ht="24" x14ac:dyDescent="0.25">
      <c r="A20" s="5" t="s">
        <v>315</v>
      </c>
      <c r="B20" s="5" t="s">
        <v>30</v>
      </c>
      <c r="C20" s="5" t="s">
        <v>316</v>
      </c>
      <c r="D20" s="5" t="s">
        <v>317</v>
      </c>
      <c r="E20" s="20" t="s">
        <v>225</v>
      </c>
      <c r="F20" s="13" t="s">
        <v>121</v>
      </c>
      <c r="G20" s="5" t="s">
        <v>106</v>
      </c>
      <c r="H20" s="5" t="s">
        <v>106</v>
      </c>
      <c r="I20" s="5" t="s">
        <v>106</v>
      </c>
      <c r="J20" s="5" t="s">
        <v>106</v>
      </c>
      <c r="K20" s="5" t="s">
        <v>2211</v>
      </c>
      <c r="L20" s="5" t="s">
        <v>321</v>
      </c>
      <c r="M20" s="5" t="s">
        <v>106</v>
      </c>
    </row>
    <row r="21" spans="1:13" ht="24" x14ac:dyDescent="0.25">
      <c r="A21" s="5" t="s">
        <v>322</v>
      </c>
      <c r="B21" s="5" t="s">
        <v>30</v>
      </c>
      <c r="C21" s="5" t="s">
        <v>316</v>
      </c>
      <c r="D21" s="5" t="s">
        <v>323</v>
      </c>
      <c r="E21" s="20" t="s">
        <v>327</v>
      </c>
      <c r="F21" s="16" t="s">
        <v>117</v>
      </c>
      <c r="G21" s="5" t="s">
        <v>2212</v>
      </c>
      <c r="H21" s="5" t="s">
        <v>106</v>
      </c>
      <c r="I21" s="5" t="s">
        <v>106</v>
      </c>
      <c r="J21" s="5" t="s">
        <v>106</v>
      </c>
      <c r="K21" s="5" t="s">
        <v>2213</v>
      </c>
      <c r="L21" s="5" t="s">
        <v>329</v>
      </c>
      <c r="M21" s="5" t="s">
        <v>1727</v>
      </c>
    </row>
    <row r="22" spans="1:13" ht="24" x14ac:dyDescent="0.25">
      <c r="A22" s="5" t="s">
        <v>332</v>
      </c>
      <c r="B22" s="5" t="s">
        <v>30</v>
      </c>
      <c r="C22" s="5" t="s">
        <v>316</v>
      </c>
      <c r="D22" s="5" t="s">
        <v>333</v>
      </c>
      <c r="E22" s="20" t="s">
        <v>335</v>
      </c>
      <c r="F22" s="16" t="s">
        <v>117</v>
      </c>
      <c r="G22" s="5" t="s">
        <v>2212</v>
      </c>
      <c r="H22" s="5" t="s">
        <v>106</v>
      </c>
      <c r="I22" s="5" t="s">
        <v>106</v>
      </c>
      <c r="J22" s="5" t="s">
        <v>106</v>
      </c>
      <c r="K22" s="5" t="s">
        <v>2213</v>
      </c>
      <c r="L22" s="5" t="s">
        <v>337</v>
      </c>
      <c r="M22" s="5" t="s">
        <v>1727</v>
      </c>
    </row>
    <row r="23" spans="1:13" ht="24" x14ac:dyDescent="0.25">
      <c r="A23" s="5" t="s">
        <v>340</v>
      </c>
      <c r="B23" s="5" t="s">
        <v>30</v>
      </c>
      <c r="C23" s="5" t="s">
        <v>316</v>
      </c>
      <c r="D23" s="5" t="s">
        <v>341</v>
      </c>
      <c r="E23" s="20" t="s">
        <v>344</v>
      </c>
      <c r="F23" s="13" t="s">
        <v>121</v>
      </c>
      <c r="G23" s="5" t="s">
        <v>106</v>
      </c>
      <c r="H23" s="5" t="s">
        <v>106</v>
      </c>
      <c r="I23" s="5" t="s">
        <v>106</v>
      </c>
      <c r="J23" s="5" t="s">
        <v>106</v>
      </c>
      <c r="K23" s="5" t="s">
        <v>2214</v>
      </c>
      <c r="L23" s="5" t="s">
        <v>346</v>
      </c>
      <c r="M23" s="5" t="s">
        <v>106</v>
      </c>
    </row>
    <row r="24" spans="1:13" ht="24" x14ac:dyDescent="0.25">
      <c r="A24" s="5" t="s">
        <v>349</v>
      </c>
      <c r="B24" s="5" t="s">
        <v>30</v>
      </c>
      <c r="C24" s="5" t="s">
        <v>350</v>
      </c>
      <c r="D24" s="5" t="s">
        <v>351</v>
      </c>
      <c r="E24" s="20" t="s">
        <v>354</v>
      </c>
      <c r="F24" s="13" t="s">
        <v>121</v>
      </c>
      <c r="G24" s="5" t="s">
        <v>106</v>
      </c>
      <c r="H24" s="5" t="s">
        <v>106</v>
      </c>
      <c r="I24" s="5" t="s">
        <v>106</v>
      </c>
      <c r="J24" s="5" t="s">
        <v>106</v>
      </c>
      <c r="K24" s="5" t="s">
        <v>2211</v>
      </c>
      <c r="L24" s="5" t="s">
        <v>357</v>
      </c>
      <c r="M24" s="5" t="s">
        <v>106</v>
      </c>
    </row>
    <row r="25" spans="1:13" ht="24" x14ac:dyDescent="0.25">
      <c r="A25" s="5" t="s">
        <v>360</v>
      </c>
      <c r="B25" s="5" t="s">
        <v>30</v>
      </c>
      <c r="C25" s="5" t="s">
        <v>350</v>
      </c>
      <c r="D25" s="5" t="s">
        <v>361</v>
      </c>
      <c r="E25" s="20" t="s">
        <v>363</v>
      </c>
      <c r="F25" s="13" t="s">
        <v>121</v>
      </c>
      <c r="G25" s="5" t="s">
        <v>106</v>
      </c>
      <c r="H25" s="5" t="s">
        <v>106</v>
      </c>
      <c r="I25" s="5" t="s">
        <v>106</v>
      </c>
      <c r="J25" s="5" t="s">
        <v>106</v>
      </c>
      <c r="K25" s="5" t="s">
        <v>2211</v>
      </c>
      <c r="L25" s="5" t="s">
        <v>365</v>
      </c>
      <c r="M25" s="5" t="s">
        <v>106</v>
      </c>
    </row>
    <row r="26" spans="1:13" ht="24" x14ac:dyDescent="0.25">
      <c r="A26" s="5" t="s">
        <v>368</v>
      </c>
      <c r="B26" s="5" t="s">
        <v>30</v>
      </c>
      <c r="C26" s="5" t="s">
        <v>350</v>
      </c>
      <c r="D26" s="5" t="s">
        <v>369</v>
      </c>
      <c r="E26" s="20" t="s">
        <v>370</v>
      </c>
      <c r="F26" s="13" t="s">
        <v>121</v>
      </c>
      <c r="G26" s="5" t="s">
        <v>106</v>
      </c>
      <c r="H26" s="5" t="s">
        <v>106</v>
      </c>
      <c r="I26" s="5" t="s">
        <v>106</v>
      </c>
      <c r="J26" s="5" t="s">
        <v>106</v>
      </c>
      <c r="K26" s="5" t="s">
        <v>2211</v>
      </c>
      <c r="L26" s="5" t="s">
        <v>372</v>
      </c>
      <c r="M26" s="5" t="s">
        <v>106</v>
      </c>
    </row>
    <row r="27" spans="1:13" ht="24" x14ac:dyDescent="0.25">
      <c r="A27" s="5" t="s">
        <v>375</v>
      </c>
      <c r="B27" s="5" t="s">
        <v>30</v>
      </c>
      <c r="C27" s="5" t="s">
        <v>350</v>
      </c>
      <c r="D27" s="5" t="s">
        <v>376</v>
      </c>
      <c r="E27" s="20" t="s">
        <v>377</v>
      </c>
      <c r="F27" s="13" t="s">
        <v>121</v>
      </c>
      <c r="G27" s="5" t="s">
        <v>106</v>
      </c>
      <c r="H27" s="5" t="s">
        <v>106</v>
      </c>
      <c r="I27" s="5" t="s">
        <v>106</v>
      </c>
      <c r="J27" s="5" t="s">
        <v>106</v>
      </c>
      <c r="K27" s="5" t="s">
        <v>2211</v>
      </c>
      <c r="L27" s="5" t="s">
        <v>379</v>
      </c>
      <c r="M27" s="5" t="s">
        <v>106</v>
      </c>
    </row>
    <row r="28" spans="1:13" ht="24" x14ac:dyDescent="0.25">
      <c r="A28" s="5" t="s">
        <v>382</v>
      </c>
      <c r="B28" s="5" t="s">
        <v>30</v>
      </c>
      <c r="C28" s="5" t="s">
        <v>383</v>
      </c>
      <c r="D28" s="5" t="s">
        <v>384</v>
      </c>
      <c r="E28" s="20" t="s">
        <v>385</v>
      </c>
      <c r="F28" s="13" t="s">
        <v>121</v>
      </c>
      <c r="G28" s="5" t="s">
        <v>106</v>
      </c>
      <c r="H28" s="5" t="s">
        <v>106</v>
      </c>
      <c r="I28" s="5" t="s">
        <v>106</v>
      </c>
      <c r="J28" s="5" t="s">
        <v>106</v>
      </c>
      <c r="K28" s="5" t="s">
        <v>2211</v>
      </c>
      <c r="L28" s="5" t="s">
        <v>388</v>
      </c>
      <c r="M28" s="5" t="s">
        <v>106</v>
      </c>
    </row>
    <row r="29" spans="1:13" ht="24" x14ac:dyDescent="0.25">
      <c r="A29" s="5" t="s">
        <v>391</v>
      </c>
      <c r="B29" s="5" t="s">
        <v>30</v>
      </c>
      <c r="C29" s="5" t="s">
        <v>383</v>
      </c>
      <c r="D29" s="5" t="s">
        <v>392</v>
      </c>
      <c r="E29" s="20" t="s">
        <v>393</v>
      </c>
      <c r="F29" s="13" t="s">
        <v>121</v>
      </c>
      <c r="G29" s="5" t="s">
        <v>106</v>
      </c>
      <c r="H29" s="5" t="s">
        <v>106</v>
      </c>
      <c r="I29" s="5" t="s">
        <v>106</v>
      </c>
      <c r="J29" s="5" t="s">
        <v>106</v>
      </c>
      <c r="K29" s="5" t="s">
        <v>2211</v>
      </c>
      <c r="L29" s="5" t="s">
        <v>395</v>
      </c>
      <c r="M29" s="5" t="s">
        <v>106</v>
      </c>
    </row>
    <row r="30" spans="1:13" ht="24" x14ac:dyDescent="0.25">
      <c r="A30" s="5" t="s">
        <v>398</v>
      </c>
      <c r="B30" s="5" t="s">
        <v>30</v>
      </c>
      <c r="C30" s="5" t="s">
        <v>383</v>
      </c>
      <c r="D30" s="5" t="s">
        <v>351</v>
      </c>
      <c r="E30" s="20" t="s">
        <v>399</v>
      </c>
      <c r="F30" s="13" t="s">
        <v>121</v>
      </c>
      <c r="G30" s="5" t="s">
        <v>106</v>
      </c>
      <c r="H30" s="5" t="s">
        <v>106</v>
      </c>
      <c r="I30" s="5" t="s">
        <v>106</v>
      </c>
      <c r="J30" s="5" t="s">
        <v>106</v>
      </c>
      <c r="K30" s="5" t="s">
        <v>2211</v>
      </c>
      <c r="L30" s="5" t="s">
        <v>401</v>
      </c>
      <c r="M30" s="5" t="s">
        <v>106</v>
      </c>
    </row>
    <row r="31" spans="1:13" ht="24" x14ac:dyDescent="0.25">
      <c r="A31" s="5" t="s">
        <v>404</v>
      </c>
      <c r="B31" s="5" t="s">
        <v>30</v>
      </c>
      <c r="C31" s="5" t="s">
        <v>383</v>
      </c>
      <c r="D31" s="5" t="s">
        <v>361</v>
      </c>
      <c r="E31" s="20" t="s">
        <v>406</v>
      </c>
      <c r="F31" s="13" t="s">
        <v>121</v>
      </c>
      <c r="G31" s="5" t="s">
        <v>106</v>
      </c>
      <c r="H31" s="5" t="s">
        <v>106</v>
      </c>
      <c r="I31" s="5" t="s">
        <v>106</v>
      </c>
      <c r="J31" s="5" t="s">
        <v>106</v>
      </c>
      <c r="K31" s="5" t="s">
        <v>2211</v>
      </c>
      <c r="L31" s="5" t="s">
        <v>408</v>
      </c>
      <c r="M31" s="5" t="s">
        <v>106</v>
      </c>
    </row>
    <row r="32" spans="1:13" ht="36" x14ac:dyDescent="0.25">
      <c r="A32" s="5" t="s">
        <v>411</v>
      </c>
      <c r="B32" s="5" t="s">
        <v>30</v>
      </c>
      <c r="C32" s="5" t="s">
        <v>383</v>
      </c>
      <c r="D32" s="5" t="s">
        <v>412</v>
      </c>
      <c r="E32" s="20" t="s">
        <v>415</v>
      </c>
      <c r="F32" s="16" t="s">
        <v>117</v>
      </c>
      <c r="G32" s="5" t="s">
        <v>106</v>
      </c>
      <c r="H32" s="5" t="s">
        <v>2215</v>
      </c>
      <c r="I32" s="5" t="s">
        <v>106</v>
      </c>
      <c r="J32" s="5" t="s">
        <v>106</v>
      </c>
      <c r="K32" s="5" t="s">
        <v>2216</v>
      </c>
      <c r="L32" s="5" t="s">
        <v>417</v>
      </c>
      <c r="M32" s="5" t="s">
        <v>2013</v>
      </c>
    </row>
    <row r="33" spans="1:13" ht="48" x14ac:dyDescent="0.25">
      <c r="A33" s="5" t="s">
        <v>420</v>
      </c>
      <c r="B33" s="5" t="s">
        <v>36</v>
      </c>
      <c r="C33" s="5" t="s">
        <v>37</v>
      </c>
      <c r="D33" s="5" t="s">
        <v>421</v>
      </c>
      <c r="E33" s="20" t="s">
        <v>425</v>
      </c>
      <c r="F33" s="15" t="s">
        <v>119</v>
      </c>
      <c r="G33" s="5" t="s">
        <v>106</v>
      </c>
      <c r="H33" s="5" t="s">
        <v>106</v>
      </c>
      <c r="I33" s="5" t="s">
        <v>106</v>
      </c>
      <c r="J33" s="5" t="s">
        <v>106</v>
      </c>
      <c r="K33" s="5" t="s">
        <v>2217</v>
      </c>
      <c r="L33" s="5" t="s">
        <v>428</v>
      </c>
      <c r="M33" s="5" t="s">
        <v>106</v>
      </c>
    </row>
    <row r="34" spans="1:13" ht="48" x14ac:dyDescent="0.25">
      <c r="A34" s="5" t="s">
        <v>431</v>
      </c>
      <c r="B34" s="5" t="s">
        <v>36</v>
      </c>
      <c r="C34" s="5" t="s">
        <v>37</v>
      </c>
      <c r="D34" s="5" t="s">
        <v>432</v>
      </c>
      <c r="E34" s="20" t="s">
        <v>436</v>
      </c>
      <c r="F34" s="15" t="s">
        <v>119</v>
      </c>
      <c r="G34" s="5" t="s">
        <v>106</v>
      </c>
      <c r="H34" s="5" t="s">
        <v>106</v>
      </c>
      <c r="I34" s="5" t="s">
        <v>106</v>
      </c>
      <c r="J34" s="5" t="s">
        <v>106</v>
      </c>
      <c r="K34" s="5" t="s">
        <v>2218</v>
      </c>
      <c r="L34" s="5" t="s">
        <v>438</v>
      </c>
      <c r="M34" s="5" t="s">
        <v>106</v>
      </c>
    </row>
    <row r="35" spans="1:13" ht="48" x14ac:dyDescent="0.25">
      <c r="A35" s="5" t="s">
        <v>441</v>
      </c>
      <c r="B35" s="5" t="s">
        <v>36</v>
      </c>
      <c r="C35" s="5" t="s">
        <v>37</v>
      </c>
      <c r="D35" s="5" t="s">
        <v>442</v>
      </c>
      <c r="E35" s="20" t="s">
        <v>443</v>
      </c>
      <c r="F35" s="15" t="s">
        <v>119</v>
      </c>
      <c r="G35" s="5" t="s">
        <v>106</v>
      </c>
      <c r="H35" s="5" t="s">
        <v>106</v>
      </c>
      <c r="I35" s="5" t="s">
        <v>106</v>
      </c>
      <c r="J35" s="5" t="s">
        <v>106</v>
      </c>
      <c r="K35" s="5" t="s">
        <v>2219</v>
      </c>
      <c r="L35" s="5" t="s">
        <v>445</v>
      </c>
      <c r="M35" s="5" t="s">
        <v>106</v>
      </c>
    </row>
    <row r="36" spans="1:13" ht="48" x14ac:dyDescent="0.25">
      <c r="A36" s="5" t="s">
        <v>448</v>
      </c>
      <c r="B36" s="5" t="s">
        <v>36</v>
      </c>
      <c r="C36" s="5" t="s">
        <v>37</v>
      </c>
      <c r="D36" s="5" t="s">
        <v>449</v>
      </c>
      <c r="E36" s="20" t="s">
        <v>450</v>
      </c>
      <c r="F36" s="15" t="s">
        <v>119</v>
      </c>
      <c r="G36" s="5" t="s">
        <v>106</v>
      </c>
      <c r="H36" s="5" t="s">
        <v>106</v>
      </c>
      <c r="I36" s="5" t="s">
        <v>106</v>
      </c>
      <c r="J36" s="5" t="s">
        <v>106</v>
      </c>
      <c r="K36" s="5" t="s">
        <v>2220</v>
      </c>
      <c r="L36" s="5" t="s">
        <v>452</v>
      </c>
      <c r="M36" s="5" t="s">
        <v>106</v>
      </c>
    </row>
    <row r="37" spans="1:13" ht="48" x14ac:dyDescent="0.25">
      <c r="A37" s="5" t="s">
        <v>455</v>
      </c>
      <c r="B37" s="5" t="s">
        <v>36</v>
      </c>
      <c r="C37" s="5" t="s">
        <v>37</v>
      </c>
      <c r="D37" s="5" t="s">
        <v>456</v>
      </c>
      <c r="E37" s="20" t="s">
        <v>457</v>
      </c>
      <c r="F37" s="15" t="s">
        <v>119</v>
      </c>
      <c r="G37" s="5" t="s">
        <v>106</v>
      </c>
      <c r="H37" s="5" t="s">
        <v>106</v>
      </c>
      <c r="I37" s="5" t="s">
        <v>106</v>
      </c>
      <c r="J37" s="5" t="s">
        <v>106</v>
      </c>
      <c r="K37" s="5" t="s">
        <v>2221</v>
      </c>
      <c r="L37" s="5" t="s">
        <v>459</v>
      </c>
      <c r="M37" s="5" t="s">
        <v>106</v>
      </c>
    </row>
    <row r="38" spans="1:13" ht="48" x14ac:dyDescent="0.25">
      <c r="A38" s="5" t="s">
        <v>462</v>
      </c>
      <c r="B38" s="5" t="s">
        <v>36</v>
      </c>
      <c r="C38" s="5" t="s">
        <v>37</v>
      </c>
      <c r="D38" s="5" t="s">
        <v>463</v>
      </c>
      <c r="E38" s="20" t="s">
        <v>464</v>
      </c>
      <c r="F38" s="15" t="s">
        <v>119</v>
      </c>
      <c r="G38" s="5" t="s">
        <v>106</v>
      </c>
      <c r="H38" s="5" t="s">
        <v>106</v>
      </c>
      <c r="I38" s="5" t="s">
        <v>106</v>
      </c>
      <c r="J38" s="5" t="s">
        <v>106</v>
      </c>
      <c r="K38" s="5" t="s">
        <v>2222</v>
      </c>
      <c r="L38" s="5" t="s">
        <v>466</v>
      </c>
      <c r="M38" s="5" t="s">
        <v>106</v>
      </c>
    </row>
    <row r="39" spans="1:13" ht="48" x14ac:dyDescent="0.25">
      <c r="A39" s="5" t="s">
        <v>469</v>
      </c>
      <c r="B39" s="5" t="s">
        <v>36</v>
      </c>
      <c r="C39" s="5" t="s">
        <v>37</v>
      </c>
      <c r="D39" s="5" t="s">
        <v>470</v>
      </c>
      <c r="E39" s="20" t="s">
        <v>471</v>
      </c>
      <c r="F39" s="15" t="s">
        <v>119</v>
      </c>
      <c r="G39" s="5" t="s">
        <v>106</v>
      </c>
      <c r="H39" s="5" t="s">
        <v>106</v>
      </c>
      <c r="I39" s="5" t="s">
        <v>106</v>
      </c>
      <c r="J39" s="5" t="s">
        <v>106</v>
      </c>
      <c r="K39" s="5" t="s">
        <v>2223</v>
      </c>
      <c r="L39" s="5" t="s">
        <v>473</v>
      </c>
      <c r="M39" s="5" t="s">
        <v>106</v>
      </c>
    </row>
    <row r="40" spans="1:13" ht="24" x14ac:dyDescent="0.25">
      <c r="A40" s="5" t="s">
        <v>476</v>
      </c>
      <c r="B40" s="5" t="s">
        <v>36</v>
      </c>
      <c r="C40" s="5" t="s">
        <v>37</v>
      </c>
      <c r="D40" s="5" t="s">
        <v>477</v>
      </c>
      <c r="E40" s="5" t="s">
        <v>106</v>
      </c>
      <c r="F40" s="14" t="s">
        <v>123</v>
      </c>
      <c r="G40" s="5" t="s">
        <v>106</v>
      </c>
      <c r="H40" s="5" t="s">
        <v>106</v>
      </c>
      <c r="I40" s="5" t="s">
        <v>106</v>
      </c>
      <c r="J40" s="5" t="s">
        <v>106</v>
      </c>
      <c r="K40" s="5" t="s">
        <v>2199</v>
      </c>
      <c r="L40" s="5" t="s">
        <v>479</v>
      </c>
      <c r="M40" s="5" t="s">
        <v>106</v>
      </c>
    </row>
    <row r="41" spans="1:13" ht="48" x14ac:dyDescent="0.25">
      <c r="A41" s="5" t="s">
        <v>480</v>
      </c>
      <c r="B41" s="5" t="s">
        <v>41</v>
      </c>
      <c r="C41" s="5" t="s">
        <v>42</v>
      </c>
      <c r="D41" s="5" t="s">
        <v>481</v>
      </c>
      <c r="E41" s="20" t="s">
        <v>484</v>
      </c>
      <c r="F41" s="15" t="s">
        <v>119</v>
      </c>
      <c r="G41" s="5" t="s">
        <v>106</v>
      </c>
      <c r="H41" s="5" t="s">
        <v>106</v>
      </c>
      <c r="I41" s="5" t="s">
        <v>106</v>
      </c>
      <c r="J41" s="5" t="s">
        <v>106</v>
      </c>
      <c r="K41" s="5" t="s">
        <v>2224</v>
      </c>
      <c r="L41" s="5" t="s">
        <v>487</v>
      </c>
      <c r="M41" s="5" t="s">
        <v>106</v>
      </c>
    </row>
    <row r="42" spans="1:13" ht="48" x14ac:dyDescent="0.25">
      <c r="A42" s="5" t="s">
        <v>490</v>
      </c>
      <c r="B42" s="5" t="s">
        <v>41</v>
      </c>
      <c r="C42" s="5" t="s">
        <v>42</v>
      </c>
      <c r="D42" s="5" t="s">
        <v>491</v>
      </c>
      <c r="E42" s="20" t="s">
        <v>494</v>
      </c>
      <c r="F42" s="15" t="s">
        <v>119</v>
      </c>
      <c r="G42" s="5" t="s">
        <v>106</v>
      </c>
      <c r="H42" s="5" t="s">
        <v>106</v>
      </c>
      <c r="I42" s="5" t="s">
        <v>106</v>
      </c>
      <c r="J42" s="5" t="s">
        <v>106</v>
      </c>
      <c r="K42" s="5" t="s">
        <v>2224</v>
      </c>
      <c r="L42" s="5" t="s">
        <v>496</v>
      </c>
      <c r="M42" s="5" t="s">
        <v>106</v>
      </c>
    </row>
    <row r="43" spans="1:13" ht="36" x14ac:dyDescent="0.25">
      <c r="A43" s="5" t="s">
        <v>499</v>
      </c>
      <c r="B43" s="5" t="s">
        <v>41</v>
      </c>
      <c r="C43" s="5" t="s">
        <v>42</v>
      </c>
      <c r="D43" s="5" t="s">
        <v>500</v>
      </c>
      <c r="E43" s="20" t="s">
        <v>504</v>
      </c>
      <c r="F43" s="16" t="s">
        <v>117</v>
      </c>
      <c r="G43" s="5" t="s">
        <v>106</v>
      </c>
      <c r="H43" s="5" t="s">
        <v>2225</v>
      </c>
      <c r="I43" s="5" t="s">
        <v>106</v>
      </c>
      <c r="J43" s="5" t="s">
        <v>106</v>
      </c>
      <c r="K43" s="5" t="s">
        <v>2226</v>
      </c>
      <c r="L43" s="5" t="s">
        <v>506</v>
      </c>
      <c r="M43" s="5" t="s">
        <v>2013</v>
      </c>
    </row>
    <row r="44" spans="1:13" ht="48" x14ac:dyDescent="0.25">
      <c r="A44" s="5" t="s">
        <v>510</v>
      </c>
      <c r="B44" s="5" t="s">
        <v>41</v>
      </c>
      <c r="C44" s="5" t="s">
        <v>42</v>
      </c>
      <c r="D44" s="5" t="s">
        <v>511</v>
      </c>
      <c r="E44" s="20" t="s">
        <v>513</v>
      </c>
      <c r="F44" s="15" t="s">
        <v>119</v>
      </c>
      <c r="G44" s="5" t="s">
        <v>106</v>
      </c>
      <c r="H44" s="5" t="s">
        <v>106</v>
      </c>
      <c r="I44" s="5" t="s">
        <v>106</v>
      </c>
      <c r="J44" s="5" t="s">
        <v>106</v>
      </c>
      <c r="K44" s="5" t="s">
        <v>2224</v>
      </c>
      <c r="L44" s="5" t="s">
        <v>515</v>
      </c>
      <c r="M44" s="5" t="s">
        <v>106</v>
      </c>
    </row>
    <row r="45" spans="1:13" ht="48" x14ac:dyDescent="0.25">
      <c r="A45" s="5" t="s">
        <v>518</v>
      </c>
      <c r="B45" s="5" t="s">
        <v>41</v>
      </c>
      <c r="C45" s="5" t="s">
        <v>42</v>
      </c>
      <c r="D45" s="5" t="s">
        <v>519</v>
      </c>
      <c r="E45" s="20" t="s">
        <v>521</v>
      </c>
      <c r="F45" s="15" t="s">
        <v>119</v>
      </c>
      <c r="G45" s="5" t="s">
        <v>106</v>
      </c>
      <c r="H45" s="5" t="s">
        <v>106</v>
      </c>
      <c r="I45" s="5" t="s">
        <v>106</v>
      </c>
      <c r="J45" s="5" t="s">
        <v>106</v>
      </c>
      <c r="K45" s="5" t="s">
        <v>2227</v>
      </c>
      <c r="L45" s="5" t="s">
        <v>523</v>
      </c>
      <c r="M45" s="5" t="s">
        <v>106</v>
      </c>
    </row>
    <row r="46" spans="1:13" ht="48" x14ac:dyDescent="0.25">
      <c r="A46" s="5" t="s">
        <v>526</v>
      </c>
      <c r="B46" s="5" t="s">
        <v>41</v>
      </c>
      <c r="C46" s="5" t="s">
        <v>42</v>
      </c>
      <c r="D46" s="5" t="s">
        <v>527</v>
      </c>
      <c r="E46" s="20" t="s">
        <v>531</v>
      </c>
      <c r="F46" s="15" t="s">
        <v>119</v>
      </c>
      <c r="G46" s="5" t="s">
        <v>106</v>
      </c>
      <c r="H46" s="5" t="s">
        <v>106</v>
      </c>
      <c r="I46" s="5" t="s">
        <v>106</v>
      </c>
      <c r="J46" s="5" t="s">
        <v>106</v>
      </c>
      <c r="K46" s="5" t="s">
        <v>2224</v>
      </c>
      <c r="L46" s="5" t="s">
        <v>534</v>
      </c>
      <c r="M46" s="5" t="s">
        <v>106</v>
      </c>
    </row>
    <row r="47" spans="1:13" ht="24" x14ac:dyDescent="0.25">
      <c r="A47" s="5" t="s">
        <v>537</v>
      </c>
      <c r="B47" s="5" t="s">
        <v>41</v>
      </c>
      <c r="C47" s="5" t="s">
        <v>42</v>
      </c>
      <c r="D47" s="5" t="s">
        <v>538</v>
      </c>
      <c r="E47" s="20" t="s">
        <v>541</v>
      </c>
      <c r="F47" s="13" t="s">
        <v>121</v>
      </c>
      <c r="G47" s="5" t="s">
        <v>106</v>
      </c>
      <c r="H47" s="5" t="s">
        <v>106</v>
      </c>
      <c r="I47" s="5" t="s">
        <v>106</v>
      </c>
      <c r="J47" s="5" t="s">
        <v>106</v>
      </c>
      <c r="K47" s="5" t="s">
        <v>2211</v>
      </c>
      <c r="L47" s="5" t="s">
        <v>544</v>
      </c>
      <c r="M47" s="5" t="s">
        <v>106</v>
      </c>
    </row>
    <row r="48" spans="1:13" ht="24" x14ac:dyDescent="0.25">
      <c r="A48" s="5" t="s">
        <v>547</v>
      </c>
      <c r="B48" s="5" t="s">
        <v>41</v>
      </c>
      <c r="C48" s="5" t="s">
        <v>42</v>
      </c>
      <c r="D48" s="5" t="s">
        <v>548</v>
      </c>
      <c r="E48" s="5" t="s">
        <v>106</v>
      </c>
      <c r="F48" s="14" t="s">
        <v>123</v>
      </c>
      <c r="G48" s="5" t="s">
        <v>106</v>
      </c>
      <c r="H48" s="5" t="s">
        <v>106</v>
      </c>
      <c r="I48" s="5" t="s">
        <v>106</v>
      </c>
      <c r="J48" s="5" t="s">
        <v>106</v>
      </c>
      <c r="K48" s="5" t="s">
        <v>2199</v>
      </c>
      <c r="L48" s="5" t="s">
        <v>549</v>
      </c>
      <c r="M48" s="5" t="s">
        <v>106</v>
      </c>
    </row>
    <row r="49" spans="1:13" ht="48" x14ac:dyDescent="0.25">
      <c r="A49" s="5" t="s">
        <v>550</v>
      </c>
      <c r="B49" s="5" t="s">
        <v>46</v>
      </c>
      <c r="C49" s="5" t="s">
        <v>551</v>
      </c>
      <c r="D49" s="5" t="s">
        <v>552</v>
      </c>
      <c r="E49" s="20" t="s">
        <v>555</v>
      </c>
      <c r="F49" s="15" t="s">
        <v>119</v>
      </c>
      <c r="G49" s="5" t="s">
        <v>106</v>
      </c>
      <c r="H49" s="5" t="s">
        <v>106</v>
      </c>
      <c r="I49" s="5" t="s">
        <v>106</v>
      </c>
      <c r="J49" s="5" t="s">
        <v>106</v>
      </c>
      <c r="K49" s="5" t="s">
        <v>2228</v>
      </c>
      <c r="L49" s="5" t="s">
        <v>558</v>
      </c>
      <c r="M49" s="5" t="s">
        <v>106</v>
      </c>
    </row>
    <row r="50" spans="1:13" ht="48" x14ac:dyDescent="0.25">
      <c r="A50" s="5" t="s">
        <v>561</v>
      </c>
      <c r="B50" s="5" t="s">
        <v>46</v>
      </c>
      <c r="C50" s="5" t="s">
        <v>551</v>
      </c>
      <c r="D50" s="5" t="s">
        <v>562</v>
      </c>
      <c r="E50" s="20" t="s">
        <v>564</v>
      </c>
      <c r="F50" s="15" t="s">
        <v>119</v>
      </c>
      <c r="G50" s="5" t="s">
        <v>106</v>
      </c>
      <c r="H50" s="5" t="s">
        <v>106</v>
      </c>
      <c r="I50" s="5" t="s">
        <v>106</v>
      </c>
      <c r="J50" s="5" t="s">
        <v>106</v>
      </c>
      <c r="K50" s="5" t="s">
        <v>2228</v>
      </c>
      <c r="L50" s="5" t="s">
        <v>566</v>
      </c>
      <c r="M50" s="5" t="s">
        <v>106</v>
      </c>
    </row>
    <row r="51" spans="1:13" ht="48" x14ac:dyDescent="0.25">
      <c r="A51" s="5" t="s">
        <v>569</v>
      </c>
      <c r="B51" s="5" t="s">
        <v>46</v>
      </c>
      <c r="C51" s="5" t="s">
        <v>551</v>
      </c>
      <c r="D51" s="5" t="s">
        <v>5</v>
      </c>
      <c r="E51" s="20" t="s">
        <v>570</v>
      </c>
      <c r="F51" s="15" t="s">
        <v>119</v>
      </c>
      <c r="G51" s="5" t="s">
        <v>106</v>
      </c>
      <c r="H51" s="5" t="s">
        <v>106</v>
      </c>
      <c r="I51" s="5" t="s">
        <v>106</v>
      </c>
      <c r="J51" s="5" t="s">
        <v>106</v>
      </c>
      <c r="K51" s="5" t="s">
        <v>2228</v>
      </c>
      <c r="L51" s="5" t="s">
        <v>572</v>
      </c>
      <c r="M51" s="5" t="s">
        <v>106</v>
      </c>
    </row>
    <row r="52" spans="1:13" ht="48" x14ac:dyDescent="0.25">
      <c r="A52" s="5" t="s">
        <v>575</v>
      </c>
      <c r="B52" s="5" t="s">
        <v>46</v>
      </c>
      <c r="C52" s="5" t="s">
        <v>551</v>
      </c>
      <c r="D52" s="5" t="s">
        <v>576</v>
      </c>
      <c r="E52" s="20" t="s">
        <v>578</v>
      </c>
      <c r="F52" s="15" t="s">
        <v>119</v>
      </c>
      <c r="G52" s="5" t="s">
        <v>106</v>
      </c>
      <c r="H52" s="5" t="s">
        <v>106</v>
      </c>
      <c r="I52" s="5" t="s">
        <v>106</v>
      </c>
      <c r="J52" s="5" t="s">
        <v>106</v>
      </c>
      <c r="K52" s="5" t="s">
        <v>2228</v>
      </c>
      <c r="L52" s="5" t="s">
        <v>580</v>
      </c>
      <c r="M52" s="5" t="s">
        <v>106</v>
      </c>
    </row>
    <row r="53" spans="1:13" ht="24" x14ac:dyDescent="0.25">
      <c r="A53" s="5" t="s">
        <v>583</v>
      </c>
      <c r="B53" s="5" t="s">
        <v>46</v>
      </c>
      <c r="C53" s="5" t="s">
        <v>551</v>
      </c>
      <c r="D53" s="5" t="s">
        <v>491</v>
      </c>
      <c r="E53" s="20" t="s">
        <v>584</v>
      </c>
      <c r="F53" s="13" t="s">
        <v>121</v>
      </c>
      <c r="G53" s="5" t="s">
        <v>106</v>
      </c>
      <c r="H53" s="5" t="s">
        <v>106</v>
      </c>
      <c r="I53" s="5" t="s">
        <v>106</v>
      </c>
      <c r="J53" s="5" t="s">
        <v>106</v>
      </c>
      <c r="K53" s="5" t="s">
        <v>2229</v>
      </c>
      <c r="L53" s="5" t="s">
        <v>586</v>
      </c>
      <c r="M53" s="5" t="s">
        <v>106</v>
      </c>
    </row>
    <row r="54" spans="1:13" ht="48" x14ac:dyDescent="0.25">
      <c r="A54" s="5" t="s">
        <v>589</v>
      </c>
      <c r="B54" s="5" t="s">
        <v>46</v>
      </c>
      <c r="C54" s="5" t="s">
        <v>551</v>
      </c>
      <c r="D54" s="5" t="s">
        <v>590</v>
      </c>
      <c r="E54" s="20" t="s">
        <v>592</v>
      </c>
      <c r="F54" s="15" t="s">
        <v>119</v>
      </c>
      <c r="G54" s="5" t="s">
        <v>106</v>
      </c>
      <c r="H54" s="5" t="s">
        <v>106</v>
      </c>
      <c r="I54" s="5" t="s">
        <v>106</v>
      </c>
      <c r="J54" s="5" t="s">
        <v>106</v>
      </c>
      <c r="K54" s="5" t="s">
        <v>2228</v>
      </c>
      <c r="L54" s="5" t="s">
        <v>594</v>
      </c>
      <c r="M54" s="5" t="s">
        <v>106</v>
      </c>
    </row>
    <row r="55" spans="1:13" ht="48" x14ac:dyDescent="0.25">
      <c r="A55" s="5" t="s">
        <v>597</v>
      </c>
      <c r="B55" s="5" t="s">
        <v>46</v>
      </c>
      <c r="C55" s="5" t="s">
        <v>551</v>
      </c>
      <c r="D55" s="5" t="s">
        <v>598</v>
      </c>
      <c r="E55" s="20" t="s">
        <v>601</v>
      </c>
      <c r="F55" s="15" t="s">
        <v>119</v>
      </c>
      <c r="G55" s="5" t="s">
        <v>106</v>
      </c>
      <c r="H55" s="5" t="s">
        <v>106</v>
      </c>
      <c r="I55" s="5" t="s">
        <v>106</v>
      </c>
      <c r="J55" s="5" t="s">
        <v>106</v>
      </c>
      <c r="K55" s="5" t="s">
        <v>2230</v>
      </c>
      <c r="L55" s="5" t="s">
        <v>603</v>
      </c>
      <c r="M55" s="5" t="s">
        <v>106</v>
      </c>
    </row>
    <row r="56" spans="1:13" ht="24" x14ac:dyDescent="0.25">
      <c r="A56" s="5" t="s">
        <v>606</v>
      </c>
      <c r="B56" s="5" t="s">
        <v>46</v>
      </c>
      <c r="C56" s="5" t="s">
        <v>551</v>
      </c>
      <c r="D56" s="5" t="s">
        <v>519</v>
      </c>
      <c r="E56" s="20" t="s">
        <v>607</v>
      </c>
      <c r="F56" s="13" t="s">
        <v>121</v>
      </c>
      <c r="G56" s="5" t="s">
        <v>106</v>
      </c>
      <c r="H56" s="5" t="s">
        <v>106</v>
      </c>
      <c r="I56" s="5" t="s">
        <v>106</v>
      </c>
      <c r="J56" s="5" t="s">
        <v>106</v>
      </c>
      <c r="K56" s="5" t="s">
        <v>2229</v>
      </c>
      <c r="L56" s="5" t="s">
        <v>609</v>
      </c>
      <c r="M56" s="5" t="s">
        <v>106</v>
      </c>
    </row>
    <row r="57" spans="1:13" ht="48" x14ac:dyDescent="0.25">
      <c r="A57" s="5" t="s">
        <v>612</v>
      </c>
      <c r="B57" s="5" t="s">
        <v>46</v>
      </c>
      <c r="C57" s="5" t="s">
        <v>551</v>
      </c>
      <c r="D57" s="5" t="s">
        <v>527</v>
      </c>
      <c r="E57" s="20" t="s">
        <v>615</v>
      </c>
      <c r="F57" s="15" t="s">
        <v>119</v>
      </c>
      <c r="G57" s="5" t="s">
        <v>106</v>
      </c>
      <c r="H57" s="5" t="s">
        <v>106</v>
      </c>
      <c r="I57" s="5" t="s">
        <v>106</v>
      </c>
      <c r="J57" s="5" t="s">
        <v>106</v>
      </c>
      <c r="K57" s="5" t="s">
        <v>2224</v>
      </c>
      <c r="L57" s="5" t="s">
        <v>618</v>
      </c>
      <c r="M57" s="5" t="s">
        <v>106</v>
      </c>
    </row>
    <row r="58" spans="1:13" ht="24" x14ac:dyDescent="0.25">
      <c r="A58" s="5" t="s">
        <v>621</v>
      </c>
      <c r="B58" s="5" t="s">
        <v>46</v>
      </c>
      <c r="C58" s="5" t="s">
        <v>622</v>
      </c>
      <c r="D58" s="5" t="s">
        <v>623</v>
      </c>
      <c r="E58" s="20" t="s">
        <v>625</v>
      </c>
      <c r="F58" s="13" t="s">
        <v>121</v>
      </c>
      <c r="G58" s="5" t="s">
        <v>106</v>
      </c>
      <c r="H58" s="5" t="s">
        <v>106</v>
      </c>
      <c r="I58" s="5" t="s">
        <v>106</v>
      </c>
      <c r="J58" s="5" t="s">
        <v>106</v>
      </c>
      <c r="K58" s="5" t="s">
        <v>2211</v>
      </c>
      <c r="L58" s="5" t="s">
        <v>628</v>
      </c>
      <c r="M58" s="5" t="s">
        <v>106</v>
      </c>
    </row>
    <row r="59" spans="1:13" ht="24" x14ac:dyDescent="0.25">
      <c r="A59" s="5" t="s">
        <v>631</v>
      </c>
      <c r="B59" s="5" t="s">
        <v>46</v>
      </c>
      <c r="C59" s="5" t="s">
        <v>622</v>
      </c>
      <c r="D59" s="5" t="s">
        <v>632</v>
      </c>
      <c r="E59" s="20" t="s">
        <v>634</v>
      </c>
      <c r="F59" s="13" t="s">
        <v>121</v>
      </c>
      <c r="G59" s="5" t="s">
        <v>106</v>
      </c>
      <c r="H59" s="5" t="s">
        <v>106</v>
      </c>
      <c r="I59" s="5" t="s">
        <v>106</v>
      </c>
      <c r="J59" s="5" t="s">
        <v>106</v>
      </c>
      <c r="K59" s="5" t="s">
        <v>2211</v>
      </c>
      <c r="L59" s="5" t="s">
        <v>636</v>
      </c>
      <c r="M59" s="5" t="s">
        <v>106</v>
      </c>
    </row>
    <row r="60" spans="1:13" ht="24" x14ac:dyDescent="0.25">
      <c r="A60" s="5" t="s">
        <v>639</v>
      </c>
      <c r="B60" s="5" t="s">
        <v>46</v>
      </c>
      <c r="C60" s="5" t="s">
        <v>622</v>
      </c>
      <c r="D60" s="5" t="s">
        <v>640</v>
      </c>
      <c r="E60" s="20" t="s">
        <v>643</v>
      </c>
      <c r="F60" s="13" t="s">
        <v>121</v>
      </c>
      <c r="G60" s="5" t="s">
        <v>106</v>
      </c>
      <c r="H60" s="5" t="s">
        <v>106</v>
      </c>
      <c r="I60" s="5" t="s">
        <v>106</v>
      </c>
      <c r="J60" s="5" t="s">
        <v>106</v>
      </c>
      <c r="K60" s="5" t="s">
        <v>2211</v>
      </c>
      <c r="L60" s="5" t="s">
        <v>645</v>
      </c>
      <c r="M60" s="5" t="s">
        <v>106</v>
      </c>
    </row>
    <row r="61" spans="1:13" ht="24" x14ac:dyDescent="0.25">
      <c r="A61" s="5" t="s">
        <v>648</v>
      </c>
      <c r="B61" s="5" t="s">
        <v>46</v>
      </c>
      <c r="C61" s="5" t="s">
        <v>622</v>
      </c>
      <c r="D61" s="5" t="s">
        <v>649</v>
      </c>
      <c r="E61" s="20" t="s">
        <v>652</v>
      </c>
      <c r="F61" s="13" t="s">
        <v>121</v>
      </c>
      <c r="G61" s="5" t="s">
        <v>106</v>
      </c>
      <c r="H61" s="5" t="s">
        <v>106</v>
      </c>
      <c r="I61" s="5" t="s">
        <v>106</v>
      </c>
      <c r="J61" s="5" t="s">
        <v>106</v>
      </c>
      <c r="K61" s="5" t="s">
        <v>2211</v>
      </c>
      <c r="L61" s="5" t="s">
        <v>654</v>
      </c>
      <c r="M61" s="5" t="s">
        <v>106</v>
      </c>
    </row>
    <row r="62" spans="1:13" ht="24" x14ac:dyDescent="0.25">
      <c r="A62" s="5" t="s">
        <v>657</v>
      </c>
      <c r="B62" s="5" t="s">
        <v>46</v>
      </c>
      <c r="C62" s="5" t="s">
        <v>622</v>
      </c>
      <c r="D62" s="5" t="s">
        <v>369</v>
      </c>
      <c r="E62" s="20" t="s">
        <v>659</v>
      </c>
      <c r="F62" s="13" t="s">
        <v>121</v>
      </c>
      <c r="G62" s="5" t="s">
        <v>106</v>
      </c>
      <c r="H62" s="5" t="s">
        <v>106</v>
      </c>
      <c r="I62" s="5" t="s">
        <v>106</v>
      </c>
      <c r="J62" s="5" t="s">
        <v>106</v>
      </c>
      <c r="K62" s="5" t="s">
        <v>2211</v>
      </c>
      <c r="L62" s="5" t="s">
        <v>661</v>
      </c>
      <c r="M62" s="5" t="s">
        <v>106</v>
      </c>
    </row>
    <row r="63" spans="1:13" ht="24" x14ac:dyDescent="0.25">
      <c r="A63" s="5" t="s">
        <v>664</v>
      </c>
      <c r="B63" s="5" t="s">
        <v>46</v>
      </c>
      <c r="C63" s="5" t="s">
        <v>622</v>
      </c>
      <c r="D63" s="5" t="s">
        <v>665</v>
      </c>
      <c r="E63" s="20" t="s">
        <v>668</v>
      </c>
      <c r="F63" s="13" t="s">
        <v>121</v>
      </c>
      <c r="G63" s="5" t="s">
        <v>106</v>
      </c>
      <c r="H63" s="5" t="s">
        <v>106</v>
      </c>
      <c r="I63" s="5" t="s">
        <v>106</v>
      </c>
      <c r="J63" s="5" t="s">
        <v>106</v>
      </c>
      <c r="K63" s="5" t="s">
        <v>2211</v>
      </c>
      <c r="L63" s="5" t="s">
        <v>670</v>
      </c>
      <c r="M63" s="5" t="s">
        <v>106</v>
      </c>
    </row>
    <row r="64" spans="1:13" ht="24" x14ac:dyDescent="0.25">
      <c r="A64" s="5" t="s">
        <v>673</v>
      </c>
      <c r="B64" s="5" t="s">
        <v>50</v>
      </c>
      <c r="C64" s="5" t="s">
        <v>674</v>
      </c>
      <c r="D64" s="5" t="s">
        <v>675</v>
      </c>
      <c r="E64" s="5" t="s">
        <v>106</v>
      </c>
      <c r="F64" s="13" t="s">
        <v>121</v>
      </c>
      <c r="G64" s="5" t="s">
        <v>106</v>
      </c>
      <c r="H64" s="5" t="s">
        <v>106</v>
      </c>
      <c r="I64" s="5" t="s">
        <v>106</v>
      </c>
      <c r="J64" s="5" t="s">
        <v>106</v>
      </c>
      <c r="K64" s="5" t="s">
        <v>2211</v>
      </c>
      <c r="L64" s="5" t="s">
        <v>680</v>
      </c>
      <c r="M64" s="5" t="s">
        <v>106</v>
      </c>
    </row>
    <row r="65" spans="1:13" ht="72" x14ac:dyDescent="0.25">
      <c r="A65" s="5" t="s">
        <v>681</v>
      </c>
      <c r="B65" s="5" t="s">
        <v>50</v>
      </c>
      <c r="C65" s="5" t="s">
        <v>674</v>
      </c>
      <c r="D65" s="5" t="s">
        <v>682</v>
      </c>
      <c r="E65" s="20" t="s">
        <v>686</v>
      </c>
      <c r="F65" s="12" t="s">
        <v>115</v>
      </c>
      <c r="G65" s="5" t="s">
        <v>106</v>
      </c>
      <c r="H65" s="5" t="s">
        <v>2231</v>
      </c>
      <c r="I65" s="5" t="s">
        <v>2232</v>
      </c>
      <c r="J65" s="5" t="s">
        <v>106</v>
      </c>
      <c r="K65" s="5" t="s">
        <v>2233</v>
      </c>
      <c r="L65" s="5" t="s">
        <v>689</v>
      </c>
      <c r="M65" s="5" t="s">
        <v>2234</v>
      </c>
    </row>
    <row r="66" spans="1:13" ht="24" x14ac:dyDescent="0.25">
      <c r="A66" s="5" t="s">
        <v>693</v>
      </c>
      <c r="B66" s="5" t="s">
        <v>50</v>
      </c>
      <c r="C66" s="5" t="s">
        <v>674</v>
      </c>
      <c r="D66" s="5" t="s">
        <v>694</v>
      </c>
      <c r="E66" s="5" t="s">
        <v>106</v>
      </c>
      <c r="F66" s="14" t="s">
        <v>123</v>
      </c>
      <c r="G66" s="5" t="s">
        <v>106</v>
      </c>
      <c r="H66" s="5" t="s">
        <v>106</v>
      </c>
      <c r="I66" s="5" t="s">
        <v>106</v>
      </c>
      <c r="J66" s="5" t="s">
        <v>106</v>
      </c>
      <c r="K66" s="5" t="s">
        <v>2199</v>
      </c>
      <c r="L66" s="5" t="s">
        <v>695</v>
      </c>
      <c r="M66" s="5" t="s">
        <v>106</v>
      </c>
    </row>
    <row r="67" spans="1:13" ht="24" x14ac:dyDescent="0.25">
      <c r="A67" s="5" t="s">
        <v>696</v>
      </c>
      <c r="B67" s="5" t="s">
        <v>50</v>
      </c>
      <c r="C67" s="5" t="s">
        <v>697</v>
      </c>
      <c r="D67" s="5" t="s">
        <v>698</v>
      </c>
      <c r="E67" s="20" t="s">
        <v>699</v>
      </c>
      <c r="F67" s="12" t="s">
        <v>115</v>
      </c>
      <c r="G67" s="5" t="s">
        <v>106</v>
      </c>
      <c r="H67" s="5" t="s">
        <v>106</v>
      </c>
      <c r="I67" s="5" t="s">
        <v>2235</v>
      </c>
      <c r="J67" s="5" t="s">
        <v>106</v>
      </c>
      <c r="K67" s="5" t="s">
        <v>2182</v>
      </c>
      <c r="L67" s="5" t="s">
        <v>702</v>
      </c>
      <c r="M67" s="5" t="s">
        <v>2076</v>
      </c>
    </row>
    <row r="68" spans="1:13" ht="24" x14ac:dyDescent="0.25">
      <c r="A68" s="5" t="s">
        <v>705</v>
      </c>
      <c r="B68" s="5" t="s">
        <v>50</v>
      </c>
      <c r="C68" s="5" t="s">
        <v>697</v>
      </c>
      <c r="D68" s="5" t="s">
        <v>683</v>
      </c>
      <c r="E68" s="20" t="s">
        <v>707</v>
      </c>
      <c r="F68" s="12" t="s">
        <v>115</v>
      </c>
      <c r="G68" s="5" t="s">
        <v>106</v>
      </c>
      <c r="H68" s="5" t="s">
        <v>106</v>
      </c>
      <c r="I68" s="5" t="s">
        <v>2236</v>
      </c>
      <c r="J68" s="5" t="s">
        <v>106</v>
      </c>
      <c r="K68" s="5" t="s">
        <v>2182</v>
      </c>
      <c r="L68" s="5" t="s">
        <v>709</v>
      </c>
      <c r="M68" s="5" t="s">
        <v>2097</v>
      </c>
    </row>
    <row r="69" spans="1:13" ht="24" x14ac:dyDescent="0.25">
      <c r="A69" s="5" t="s">
        <v>712</v>
      </c>
      <c r="B69" s="5" t="s">
        <v>50</v>
      </c>
      <c r="C69" s="5" t="s">
        <v>697</v>
      </c>
      <c r="D69" s="5" t="s">
        <v>713</v>
      </c>
      <c r="E69" s="20" t="s">
        <v>715</v>
      </c>
      <c r="F69" s="13" t="s">
        <v>121</v>
      </c>
      <c r="G69" s="5" t="s">
        <v>106</v>
      </c>
      <c r="H69" s="5" t="s">
        <v>106</v>
      </c>
      <c r="I69" s="5" t="s">
        <v>106</v>
      </c>
      <c r="J69" s="5" t="s">
        <v>106</v>
      </c>
      <c r="K69" s="5" t="s">
        <v>2211</v>
      </c>
      <c r="L69" s="5" t="s">
        <v>717</v>
      </c>
      <c r="M69" s="5" t="s">
        <v>106</v>
      </c>
    </row>
    <row r="70" spans="1:13" ht="24" x14ac:dyDescent="0.25">
      <c r="A70" s="5" t="s">
        <v>720</v>
      </c>
      <c r="B70" s="5" t="s">
        <v>50</v>
      </c>
      <c r="C70" s="5" t="s">
        <v>697</v>
      </c>
      <c r="D70" s="5" t="s">
        <v>527</v>
      </c>
      <c r="E70" s="20" t="s">
        <v>722</v>
      </c>
      <c r="F70" s="13" t="s">
        <v>121</v>
      </c>
      <c r="G70" s="5" t="s">
        <v>106</v>
      </c>
      <c r="H70" s="5" t="s">
        <v>106</v>
      </c>
      <c r="I70" s="5" t="s">
        <v>106</v>
      </c>
      <c r="J70" s="5" t="s">
        <v>106</v>
      </c>
      <c r="K70" s="5" t="s">
        <v>2211</v>
      </c>
      <c r="L70" s="5" t="s">
        <v>724</v>
      </c>
      <c r="M70" s="5" t="s">
        <v>106</v>
      </c>
    </row>
    <row r="71" spans="1:13" ht="24" x14ac:dyDescent="0.25">
      <c r="A71" s="5" t="s">
        <v>727</v>
      </c>
      <c r="B71" s="5" t="s">
        <v>50</v>
      </c>
      <c r="C71" s="5" t="s">
        <v>697</v>
      </c>
      <c r="D71" s="5" t="s">
        <v>728</v>
      </c>
      <c r="E71" s="20" t="s">
        <v>729</v>
      </c>
      <c r="F71" s="12" t="s">
        <v>115</v>
      </c>
      <c r="G71" s="5" t="s">
        <v>106</v>
      </c>
      <c r="H71" s="5" t="s">
        <v>106</v>
      </c>
      <c r="I71" s="5" t="s">
        <v>2237</v>
      </c>
      <c r="J71" s="5" t="s">
        <v>106</v>
      </c>
      <c r="K71" s="5" t="s">
        <v>2182</v>
      </c>
      <c r="L71" s="5" t="s">
        <v>731</v>
      </c>
      <c r="M71" s="5" t="s">
        <v>2080</v>
      </c>
    </row>
    <row r="72" spans="1:13" ht="24" x14ac:dyDescent="0.25">
      <c r="A72" s="5" t="s">
        <v>734</v>
      </c>
      <c r="B72" s="5" t="s">
        <v>50</v>
      </c>
      <c r="C72" s="5" t="s">
        <v>697</v>
      </c>
      <c r="D72" s="5" t="s">
        <v>735</v>
      </c>
      <c r="E72" s="5" t="s">
        <v>106</v>
      </c>
      <c r="F72" s="14" t="s">
        <v>123</v>
      </c>
      <c r="G72" s="5" t="s">
        <v>106</v>
      </c>
      <c r="H72" s="5" t="s">
        <v>106</v>
      </c>
      <c r="I72" s="5" t="s">
        <v>106</v>
      </c>
      <c r="J72" s="5" t="s">
        <v>106</v>
      </c>
      <c r="K72" s="5" t="s">
        <v>2199</v>
      </c>
      <c r="L72" s="5" t="s">
        <v>739</v>
      </c>
      <c r="M72" s="5" t="s">
        <v>106</v>
      </c>
    </row>
    <row r="73" spans="1:13" ht="48" x14ac:dyDescent="0.25">
      <c r="A73" s="5" t="s">
        <v>740</v>
      </c>
      <c r="B73" s="5" t="s">
        <v>54</v>
      </c>
      <c r="C73" s="5" t="s">
        <v>54</v>
      </c>
      <c r="D73" s="5" t="s">
        <v>741</v>
      </c>
      <c r="E73" s="20" t="s">
        <v>743</v>
      </c>
      <c r="F73" s="15" t="s">
        <v>119</v>
      </c>
      <c r="G73" s="5" t="s">
        <v>106</v>
      </c>
      <c r="H73" s="5" t="s">
        <v>106</v>
      </c>
      <c r="I73" s="5" t="s">
        <v>106</v>
      </c>
      <c r="J73" s="5" t="s">
        <v>106</v>
      </c>
      <c r="K73" s="5" t="s">
        <v>2238</v>
      </c>
      <c r="L73" s="5" t="s">
        <v>746</v>
      </c>
      <c r="M73" s="5" t="s">
        <v>106</v>
      </c>
    </row>
    <row r="74" spans="1:13" ht="72" x14ac:dyDescent="0.25">
      <c r="A74" s="5" t="s">
        <v>749</v>
      </c>
      <c r="B74" s="5" t="s">
        <v>54</v>
      </c>
      <c r="C74" s="5" t="s">
        <v>54</v>
      </c>
      <c r="D74" s="5" t="s">
        <v>750</v>
      </c>
      <c r="E74" s="20" t="s">
        <v>753</v>
      </c>
      <c r="F74" s="16" t="s">
        <v>117</v>
      </c>
      <c r="G74" s="5" t="s">
        <v>2239</v>
      </c>
      <c r="H74" s="5" t="s">
        <v>106</v>
      </c>
      <c r="I74" s="5" t="s">
        <v>106</v>
      </c>
      <c r="J74" s="5" t="s">
        <v>106</v>
      </c>
      <c r="K74" s="5" t="s">
        <v>2240</v>
      </c>
      <c r="L74" s="5" t="s">
        <v>755</v>
      </c>
      <c r="M74" s="5" t="s">
        <v>1770</v>
      </c>
    </row>
    <row r="75" spans="1:13" ht="72" x14ac:dyDescent="0.25">
      <c r="A75" s="5" t="s">
        <v>759</v>
      </c>
      <c r="B75" s="5" t="s">
        <v>54</v>
      </c>
      <c r="C75" s="5" t="s">
        <v>54</v>
      </c>
      <c r="D75" s="5" t="s">
        <v>760</v>
      </c>
      <c r="E75" s="20" t="s">
        <v>762</v>
      </c>
      <c r="F75" s="16" t="s">
        <v>117</v>
      </c>
      <c r="G75" s="5" t="s">
        <v>2241</v>
      </c>
      <c r="H75" s="5" t="s">
        <v>106</v>
      </c>
      <c r="I75" s="5" t="s">
        <v>106</v>
      </c>
      <c r="J75" s="5" t="s">
        <v>106</v>
      </c>
      <c r="K75" s="5" t="s">
        <v>2242</v>
      </c>
      <c r="L75" s="5" t="s">
        <v>764</v>
      </c>
      <c r="M75" s="5" t="s">
        <v>1757</v>
      </c>
    </row>
    <row r="76" spans="1:13" ht="72" x14ac:dyDescent="0.25">
      <c r="A76" s="5" t="s">
        <v>767</v>
      </c>
      <c r="B76" s="5" t="s">
        <v>54</v>
      </c>
      <c r="C76" s="5" t="s">
        <v>54</v>
      </c>
      <c r="D76" s="5" t="s">
        <v>768</v>
      </c>
      <c r="E76" s="20" t="s">
        <v>771</v>
      </c>
      <c r="F76" s="16" t="s">
        <v>117</v>
      </c>
      <c r="G76" s="5" t="s">
        <v>2243</v>
      </c>
      <c r="H76" s="5" t="s">
        <v>106</v>
      </c>
      <c r="I76" s="5" t="s">
        <v>106</v>
      </c>
      <c r="J76" s="5" t="s">
        <v>106</v>
      </c>
      <c r="K76" s="5" t="s">
        <v>2244</v>
      </c>
      <c r="L76" s="5" t="s">
        <v>773</v>
      </c>
      <c r="M76" s="5" t="s">
        <v>1765</v>
      </c>
    </row>
    <row r="77" spans="1:13" ht="72" x14ac:dyDescent="0.25">
      <c r="A77" s="5" t="s">
        <v>776</v>
      </c>
      <c r="B77" s="5" t="s">
        <v>54</v>
      </c>
      <c r="C77" s="5" t="s">
        <v>54</v>
      </c>
      <c r="D77" s="5" t="s">
        <v>777</v>
      </c>
      <c r="E77" s="20" t="s">
        <v>780</v>
      </c>
      <c r="F77" s="16" t="s">
        <v>117</v>
      </c>
      <c r="G77" s="5" t="s">
        <v>2245</v>
      </c>
      <c r="H77" s="5" t="s">
        <v>106</v>
      </c>
      <c r="I77" s="5" t="s">
        <v>106</v>
      </c>
      <c r="J77" s="5" t="s">
        <v>106</v>
      </c>
      <c r="K77" s="5" t="s">
        <v>2246</v>
      </c>
      <c r="L77" s="5" t="s">
        <v>782</v>
      </c>
      <c r="M77" s="5" t="s">
        <v>1762</v>
      </c>
    </row>
    <row r="78" spans="1:13" ht="72" x14ac:dyDescent="0.25">
      <c r="A78" s="5" t="s">
        <v>786</v>
      </c>
      <c r="B78" s="5" t="s">
        <v>54</v>
      </c>
      <c r="C78" s="5" t="s">
        <v>54</v>
      </c>
      <c r="D78" s="5" t="s">
        <v>787</v>
      </c>
      <c r="E78" s="20" t="s">
        <v>789</v>
      </c>
      <c r="F78" s="16" t="s">
        <v>117</v>
      </c>
      <c r="G78" s="5" t="s">
        <v>2245</v>
      </c>
      <c r="H78" s="5" t="s">
        <v>106</v>
      </c>
      <c r="I78" s="5" t="s">
        <v>106</v>
      </c>
      <c r="J78" s="5" t="s">
        <v>106</v>
      </c>
      <c r="K78" s="5" t="s">
        <v>2246</v>
      </c>
      <c r="L78" s="5" t="s">
        <v>791</v>
      </c>
      <c r="M78" s="5" t="s">
        <v>1762</v>
      </c>
    </row>
    <row r="79" spans="1:13" ht="72" x14ac:dyDescent="0.25">
      <c r="A79" s="5" t="s">
        <v>794</v>
      </c>
      <c r="B79" s="5" t="s">
        <v>54</v>
      </c>
      <c r="C79" s="5" t="s">
        <v>54</v>
      </c>
      <c r="D79" s="5" t="s">
        <v>795</v>
      </c>
      <c r="E79" s="20" t="s">
        <v>798</v>
      </c>
      <c r="F79" s="16" t="s">
        <v>117</v>
      </c>
      <c r="G79" s="5" t="s">
        <v>2247</v>
      </c>
      <c r="H79" s="5" t="s">
        <v>106</v>
      </c>
      <c r="I79" s="5" t="s">
        <v>106</v>
      </c>
      <c r="J79" s="5" t="s">
        <v>106</v>
      </c>
      <c r="K79" s="5" t="s">
        <v>2248</v>
      </c>
      <c r="L79" s="5" t="s">
        <v>800</v>
      </c>
      <c r="M79" s="5" t="s">
        <v>1774</v>
      </c>
    </row>
    <row r="80" spans="1:13" ht="36" x14ac:dyDescent="0.25">
      <c r="A80" s="5" t="s">
        <v>803</v>
      </c>
      <c r="B80" s="5" t="s">
        <v>54</v>
      </c>
      <c r="C80" s="5" t="s">
        <v>54</v>
      </c>
      <c r="D80" s="5" t="s">
        <v>804</v>
      </c>
      <c r="E80" s="20" t="s">
        <v>807</v>
      </c>
      <c r="F80" s="16" t="s">
        <v>117</v>
      </c>
      <c r="G80" s="5" t="s">
        <v>2249</v>
      </c>
      <c r="H80" s="5" t="s">
        <v>106</v>
      </c>
      <c r="I80" s="5" t="s">
        <v>106</v>
      </c>
      <c r="J80" s="5" t="s">
        <v>106</v>
      </c>
      <c r="K80" s="5" t="s">
        <v>2250</v>
      </c>
      <c r="L80" s="5" t="s">
        <v>809</v>
      </c>
      <c r="M80" s="5" t="s">
        <v>1744</v>
      </c>
    </row>
    <row r="81" spans="1:13" ht="36" x14ac:dyDescent="0.25">
      <c r="A81" s="5" t="s">
        <v>813</v>
      </c>
      <c r="B81" s="5" t="s">
        <v>54</v>
      </c>
      <c r="C81" s="5" t="s">
        <v>54</v>
      </c>
      <c r="D81" s="5" t="s">
        <v>814</v>
      </c>
      <c r="E81" s="20" t="s">
        <v>816</v>
      </c>
      <c r="F81" s="16" t="s">
        <v>117</v>
      </c>
      <c r="G81" s="5" t="s">
        <v>2251</v>
      </c>
      <c r="H81" s="5" t="s">
        <v>106</v>
      </c>
      <c r="I81" s="5" t="s">
        <v>106</v>
      </c>
      <c r="J81" s="5" t="s">
        <v>106</v>
      </c>
      <c r="K81" s="5" t="s">
        <v>2250</v>
      </c>
      <c r="L81" s="5" t="s">
        <v>818</v>
      </c>
      <c r="M81" s="5" t="s">
        <v>1740</v>
      </c>
    </row>
    <row r="82" spans="1:13" ht="24" x14ac:dyDescent="0.25">
      <c r="A82" s="5" t="s">
        <v>821</v>
      </c>
      <c r="B82" s="5" t="s">
        <v>54</v>
      </c>
      <c r="C82" s="5" t="s">
        <v>54</v>
      </c>
      <c r="D82" s="5" t="s">
        <v>822</v>
      </c>
      <c r="E82" s="20" t="s">
        <v>825</v>
      </c>
      <c r="F82" s="13" t="s">
        <v>121</v>
      </c>
      <c r="G82" s="5" t="s">
        <v>106</v>
      </c>
      <c r="H82" s="5" t="s">
        <v>106</v>
      </c>
      <c r="I82" s="5" t="s">
        <v>106</v>
      </c>
      <c r="J82" s="5" t="s">
        <v>106</v>
      </c>
      <c r="K82" s="5" t="s">
        <v>2229</v>
      </c>
      <c r="L82" s="5" t="s">
        <v>827</v>
      </c>
      <c r="M82" s="5" t="s">
        <v>106</v>
      </c>
    </row>
    <row r="83" spans="1:13" ht="48" x14ac:dyDescent="0.25">
      <c r="A83" s="5" t="s">
        <v>830</v>
      </c>
      <c r="B83" s="5" t="s">
        <v>54</v>
      </c>
      <c r="C83" s="5" t="s">
        <v>54</v>
      </c>
      <c r="D83" s="5" t="s">
        <v>831</v>
      </c>
      <c r="E83" s="20" t="s">
        <v>834</v>
      </c>
      <c r="F83" s="15" t="s">
        <v>119</v>
      </c>
      <c r="G83" s="5" t="s">
        <v>106</v>
      </c>
      <c r="H83" s="5" t="s">
        <v>106</v>
      </c>
      <c r="I83" s="5" t="s">
        <v>106</v>
      </c>
      <c r="J83" s="5" t="s">
        <v>106</v>
      </c>
      <c r="K83" s="5" t="s">
        <v>2252</v>
      </c>
      <c r="L83" s="5" t="s">
        <v>836</v>
      </c>
      <c r="M83" s="5" t="s">
        <v>106</v>
      </c>
    </row>
    <row r="84" spans="1:13" ht="48" x14ac:dyDescent="0.25">
      <c r="A84" s="5" t="s">
        <v>839</v>
      </c>
      <c r="B84" s="5" t="s">
        <v>54</v>
      </c>
      <c r="C84" s="5" t="s">
        <v>54</v>
      </c>
      <c r="D84" s="5" t="s">
        <v>840</v>
      </c>
      <c r="E84" s="20" t="s">
        <v>841</v>
      </c>
      <c r="F84" s="15" t="s">
        <v>119</v>
      </c>
      <c r="G84" s="5" t="s">
        <v>106</v>
      </c>
      <c r="H84" s="5" t="s">
        <v>106</v>
      </c>
      <c r="I84" s="5" t="s">
        <v>106</v>
      </c>
      <c r="J84" s="5" t="s">
        <v>106</v>
      </c>
      <c r="K84" s="5" t="s">
        <v>2253</v>
      </c>
      <c r="L84" s="5" t="s">
        <v>843</v>
      </c>
      <c r="M84" s="5" t="s">
        <v>106</v>
      </c>
    </row>
    <row r="85" spans="1:13" ht="24" x14ac:dyDescent="0.25">
      <c r="A85" s="5" t="s">
        <v>846</v>
      </c>
      <c r="B85" s="5" t="s">
        <v>57</v>
      </c>
      <c r="C85" s="5" t="s">
        <v>847</v>
      </c>
      <c r="D85" s="5" t="s">
        <v>848</v>
      </c>
      <c r="E85" s="20" t="s">
        <v>850</v>
      </c>
      <c r="F85" s="13" t="s">
        <v>121</v>
      </c>
      <c r="G85" s="5" t="s">
        <v>106</v>
      </c>
      <c r="H85" s="5" t="s">
        <v>106</v>
      </c>
      <c r="I85" s="5" t="s">
        <v>106</v>
      </c>
      <c r="J85" s="5" t="s">
        <v>106</v>
      </c>
      <c r="K85" s="5" t="s">
        <v>2211</v>
      </c>
      <c r="L85" s="5" t="s">
        <v>853</v>
      </c>
      <c r="M85" s="5" t="s">
        <v>106</v>
      </c>
    </row>
    <row r="86" spans="1:13" ht="24" x14ac:dyDescent="0.25">
      <c r="A86" s="5" t="s">
        <v>856</v>
      </c>
      <c r="B86" s="5" t="s">
        <v>57</v>
      </c>
      <c r="C86" s="5" t="s">
        <v>847</v>
      </c>
      <c r="D86" s="5" t="s">
        <v>857</v>
      </c>
      <c r="E86" s="20" t="s">
        <v>858</v>
      </c>
      <c r="F86" s="13" t="s">
        <v>121</v>
      </c>
      <c r="G86" s="5" t="s">
        <v>106</v>
      </c>
      <c r="H86" s="5" t="s">
        <v>106</v>
      </c>
      <c r="I86" s="5" t="s">
        <v>106</v>
      </c>
      <c r="J86" s="5" t="s">
        <v>106</v>
      </c>
      <c r="K86" s="5" t="s">
        <v>2211</v>
      </c>
      <c r="L86" s="5" t="s">
        <v>860</v>
      </c>
      <c r="M86" s="5" t="s">
        <v>106</v>
      </c>
    </row>
    <row r="87" spans="1:13" ht="24" x14ac:dyDescent="0.25">
      <c r="A87" s="5" t="s">
        <v>863</v>
      </c>
      <c r="B87" s="5" t="s">
        <v>57</v>
      </c>
      <c r="C87" s="5" t="s">
        <v>847</v>
      </c>
      <c r="D87" s="5" t="s">
        <v>864</v>
      </c>
      <c r="E87" s="20" t="s">
        <v>866</v>
      </c>
      <c r="F87" s="13" t="s">
        <v>121</v>
      </c>
      <c r="G87" s="5" t="s">
        <v>106</v>
      </c>
      <c r="H87" s="5" t="s">
        <v>106</v>
      </c>
      <c r="I87" s="5" t="s">
        <v>106</v>
      </c>
      <c r="J87" s="5" t="s">
        <v>106</v>
      </c>
      <c r="K87" s="5" t="s">
        <v>2211</v>
      </c>
      <c r="L87" s="5" t="s">
        <v>868</v>
      </c>
      <c r="M87" s="5" t="s">
        <v>106</v>
      </c>
    </row>
    <row r="88" spans="1:13" ht="24" x14ac:dyDescent="0.25">
      <c r="A88" s="5" t="s">
        <v>871</v>
      </c>
      <c r="B88" s="5" t="s">
        <v>57</v>
      </c>
      <c r="C88" s="5" t="s">
        <v>847</v>
      </c>
      <c r="D88" s="5" t="s">
        <v>872</v>
      </c>
      <c r="E88" s="20" t="s">
        <v>873</v>
      </c>
      <c r="F88" s="13" t="s">
        <v>121</v>
      </c>
      <c r="G88" s="5" t="s">
        <v>106</v>
      </c>
      <c r="H88" s="5" t="s">
        <v>106</v>
      </c>
      <c r="I88" s="5" t="s">
        <v>106</v>
      </c>
      <c r="J88" s="5" t="s">
        <v>106</v>
      </c>
      <c r="K88" s="5" t="s">
        <v>2211</v>
      </c>
      <c r="L88" s="5" t="s">
        <v>875</v>
      </c>
      <c r="M88" s="5" t="s">
        <v>106</v>
      </c>
    </row>
    <row r="89" spans="1:13" ht="24" x14ac:dyDescent="0.25">
      <c r="A89" s="5" t="s">
        <v>878</v>
      </c>
      <c r="B89" s="5" t="s">
        <v>57</v>
      </c>
      <c r="C89" s="5" t="s">
        <v>847</v>
      </c>
      <c r="D89" s="5" t="s">
        <v>879</v>
      </c>
      <c r="E89" s="20" t="s">
        <v>880</v>
      </c>
      <c r="F89" s="13" t="s">
        <v>121</v>
      </c>
      <c r="G89" s="5" t="s">
        <v>106</v>
      </c>
      <c r="H89" s="5" t="s">
        <v>106</v>
      </c>
      <c r="I89" s="5" t="s">
        <v>106</v>
      </c>
      <c r="J89" s="5" t="s">
        <v>106</v>
      </c>
      <c r="K89" s="5" t="s">
        <v>2211</v>
      </c>
      <c r="L89" s="5" t="s">
        <v>882</v>
      </c>
      <c r="M89" s="5" t="s">
        <v>106</v>
      </c>
    </row>
    <row r="90" spans="1:13" ht="24" x14ac:dyDescent="0.25">
      <c r="A90" s="5" t="s">
        <v>885</v>
      </c>
      <c r="B90" s="5" t="s">
        <v>57</v>
      </c>
      <c r="C90" s="5" t="s">
        <v>847</v>
      </c>
      <c r="D90" s="5" t="s">
        <v>886</v>
      </c>
      <c r="E90" s="20" t="s">
        <v>889</v>
      </c>
      <c r="F90" s="13" t="s">
        <v>121</v>
      </c>
      <c r="G90" s="5" t="s">
        <v>106</v>
      </c>
      <c r="H90" s="5" t="s">
        <v>106</v>
      </c>
      <c r="I90" s="5" t="s">
        <v>106</v>
      </c>
      <c r="J90" s="5" t="s">
        <v>106</v>
      </c>
      <c r="K90" s="5" t="s">
        <v>2211</v>
      </c>
      <c r="L90" s="5" t="s">
        <v>891</v>
      </c>
      <c r="M90" s="5" t="s">
        <v>106</v>
      </c>
    </row>
    <row r="91" spans="1:13" ht="24" x14ac:dyDescent="0.25">
      <c r="A91" s="5" t="s">
        <v>894</v>
      </c>
      <c r="B91" s="5" t="s">
        <v>57</v>
      </c>
      <c r="C91" s="5" t="s">
        <v>847</v>
      </c>
      <c r="D91" s="5" t="s">
        <v>895</v>
      </c>
      <c r="E91" s="20" t="s">
        <v>897</v>
      </c>
      <c r="F91" s="13" t="s">
        <v>121</v>
      </c>
      <c r="G91" s="5" t="s">
        <v>106</v>
      </c>
      <c r="H91" s="5" t="s">
        <v>106</v>
      </c>
      <c r="I91" s="5" t="s">
        <v>106</v>
      </c>
      <c r="J91" s="5" t="s">
        <v>106</v>
      </c>
      <c r="K91" s="5" t="s">
        <v>2211</v>
      </c>
      <c r="L91" s="5" t="s">
        <v>899</v>
      </c>
      <c r="M91" s="5" t="s">
        <v>106</v>
      </c>
    </row>
    <row r="92" spans="1:13" ht="24" x14ac:dyDescent="0.25">
      <c r="A92" s="5" t="s">
        <v>902</v>
      </c>
      <c r="B92" s="5" t="s">
        <v>57</v>
      </c>
      <c r="C92" s="5" t="s">
        <v>847</v>
      </c>
      <c r="D92" s="5" t="s">
        <v>903</v>
      </c>
      <c r="E92" s="20" t="s">
        <v>904</v>
      </c>
      <c r="F92" s="13" t="s">
        <v>121</v>
      </c>
      <c r="G92" s="5" t="s">
        <v>106</v>
      </c>
      <c r="H92" s="5" t="s">
        <v>106</v>
      </c>
      <c r="I92" s="5" t="s">
        <v>106</v>
      </c>
      <c r="J92" s="5" t="s">
        <v>106</v>
      </c>
      <c r="K92" s="5" t="s">
        <v>2211</v>
      </c>
      <c r="L92" s="5" t="s">
        <v>906</v>
      </c>
      <c r="M92" s="5" t="s">
        <v>106</v>
      </c>
    </row>
    <row r="93" spans="1:13" ht="24" x14ac:dyDescent="0.25">
      <c r="A93" s="5" t="s">
        <v>909</v>
      </c>
      <c r="B93" s="5" t="s">
        <v>57</v>
      </c>
      <c r="C93" s="5" t="s">
        <v>847</v>
      </c>
      <c r="D93" s="5" t="s">
        <v>822</v>
      </c>
      <c r="E93" s="20" t="s">
        <v>910</v>
      </c>
      <c r="F93" s="13" t="s">
        <v>121</v>
      </c>
      <c r="G93" s="5" t="s">
        <v>106</v>
      </c>
      <c r="H93" s="5" t="s">
        <v>106</v>
      </c>
      <c r="I93" s="5" t="s">
        <v>106</v>
      </c>
      <c r="J93" s="5" t="s">
        <v>106</v>
      </c>
      <c r="K93" s="5" t="s">
        <v>2211</v>
      </c>
      <c r="L93" s="5" t="s">
        <v>912</v>
      </c>
      <c r="M93" s="5" t="s">
        <v>106</v>
      </c>
    </row>
    <row r="94" spans="1:13" ht="24" x14ac:dyDescent="0.25">
      <c r="A94" s="5" t="s">
        <v>915</v>
      </c>
      <c r="B94" s="5" t="s">
        <v>57</v>
      </c>
      <c r="C94" s="5" t="s">
        <v>847</v>
      </c>
      <c r="D94" s="5" t="s">
        <v>840</v>
      </c>
      <c r="E94" s="20" t="s">
        <v>916</v>
      </c>
      <c r="F94" s="13" t="s">
        <v>121</v>
      </c>
      <c r="G94" s="5" t="s">
        <v>106</v>
      </c>
      <c r="H94" s="5" t="s">
        <v>106</v>
      </c>
      <c r="I94" s="5" t="s">
        <v>106</v>
      </c>
      <c r="J94" s="5" t="s">
        <v>106</v>
      </c>
      <c r="K94" s="5" t="s">
        <v>2211</v>
      </c>
      <c r="L94" s="5" t="s">
        <v>918</v>
      </c>
      <c r="M94" s="5" t="s">
        <v>106</v>
      </c>
    </row>
    <row r="95" spans="1:13" ht="24" x14ac:dyDescent="0.25">
      <c r="A95" s="5" t="s">
        <v>921</v>
      </c>
      <c r="B95" s="5" t="s">
        <v>57</v>
      </c>
      <c r="C95" s="5" t="s">
        <v>922</v>
      </c>
      <c r="D95" s="5" t="s">
        <v>421</v>
      </c>
      <c r="E95" s="20" t="s">
        <v>923</v>
      </c>
      <c r="F95" s="13" t="s">
        <v>121</v>
      </c>
      <c r="G95" s="5" t="s">
        <v>106</v>
      </c>
      <c r="H95" s="5" t="s">
        <v>106</v>
      </c>
      <c r="I95" s="5" t="s">
        <v>106</v>
      </c>
      <c r="J95" s="5" t="s">
        <v>106</v>
      </c>
      <c r="K95" s="5" t="s">
        <v>2211</v>
      </c>
      <c r="L95" s="5" t="s">
        <v>926</v>
      </c>
      <c r="M95" s="5" t="s">
        <v>106</v>
      </c>
    </row>
    <row r="96" spans="1:13" ht="24" x14ac:dyDescent="0.25">
      <c r="A96" s="5" t="s">
        <v>929</v>
      </c>
      <c r="B96" s="5" t="s">
        <v>57</v>
      </c>
      <c r="C96" s="5" t="s">
        <v>922</v>
      </c>
      <c r="D96" s="5" t="s">
        <v>930</v>
      </c>
      <c r="E96" s="20" t="s">
        <v>933</v>
      </c>
      <c r="F96" s="13" t="s">
        <v>121</v>
      </c>
      <c r="G96" s="5" t="s">
        <v>106</v>
      </c>
      <c r="H96" s="5" t="s">
        <v>106</v>
      </c>
      <c r="I96" s="5" t="s">
        <v>106</v>
      </c>
      <c r="J96" s="5" t="s">
        <v>106</v>
      </c>
      <c r="K96" s="5" t="s">
        <v>2211</v>
      </c>
      <c r="L96" s="5" t="s">
        <v>935</v>
      </c>
      <c r="M96" s="5" t="s">
        <v>106</v>
      </c>
    </row>
    <row r="97" spans="1:13" ht="24" x14ac:dyDescent="0.25">
      <c r="A97" s="5" t="s">
        <v>938</v>
      </c>
      <c r="B97" s="5" t="s">
        <v>57</v>
      </c>
      <c r="C97" s="5" t="s">
        <v>922</v>
      </c>
      <c r="D97" s="5" t="s">
        <v>939</v>
      </c>
      <c r="E97" s="20" t="s">
        <v>940</v>
      </c>
      <c r="F97" s="13" t="s">
        <v>121</v>
      </c>
      <c r="G97" s="5" t="s">
        <v>106</v>
      </c>
      <c r="H97" s="5" t="s">
        <v>106</v>
      </c>
      <c r="I97" s="5" t="s">
        <v>106</v>
      </c>
      <c r="J97" s="5" t="s">
        <v>106</v>
      </c>
      <c r="K97" s="5" t="s">
        <v>2211</v>
      </c>
      <c r="L97" s="5" t="s">
        <v>942</v>
      </c>
      <c r="M97" s="5" t="s">
        <v>106</v>
      </c>
    </row>
    <row r="98" spans="1:13" ht="24" x14ac:dyDescent="0.25">
      <c r="A98" s="5" t="s">
        <v>945</v>
      </c>
      <c r="B98" s="5" t="s">
        <v>57</v>
      </c>
      <c r="C98" s="5" t="s">
        <v>922</v>
      </c>
      <c r="D98" s="5" t="s">
        <v>946</v>
      </c>
      <c r="E98" s="20" t="s">
        <v>947</v>
      </c>
      <c r="F98" s="13" t="s">
        <v>121</v>
      </c>
      <c r="G98" s="5" t="s">
        <v>106</v>
      </c>
      <c r="H98" s="5" t="s">
        <v>106</v>
      </c>
      <c r="I98" s="5" t="s">
        <v>106</v>
      </c>
      <c r="J98" s="5" t="s">
        <v>106</v>
      </c>
      <c r="K98" s="5" t="s">
        <v>2211</v>
      </c>
      <c r="L98" s="5" t="s">
        <v>949</v>
      </c>
      <c r="M98" s="5" t="s">
        <v>106</v>
      </c>
    </row>
    <row r="99" spans="1:13" ht="24" x14ac:dyDescent="0.25">
      <c r="A99" s="5" t="s">
        <v>952</v>
      </c>
      <c r="B99" s="5" t="s">
        <v>57</v>
      </c>
      <c r="C99" s="5" t="s">
        <v>922</v>
      </c>
      <c r="D99" s="5" t="s">
        <v>953</v>
      </c>
      <c r="E99" s="20" t="s">
        <v>954</v>
      </c>
      <c r="F99" s="13" t="s">
        <v>121</v>
      </c>
      <c r="G99" s="5" t="s">
        <v>106</v>
      </c>
      <c r="H99" s="5" t="s">
        <v>106</v>
      </c>
      <c r="I99" s="5" t="s">
        <v>106</v>
      </c>
      <c r="J99" s="5" t="s">
        <v>106</v>
      </c>
      <c r="K99" s="5" t="s">
        <v>2211</v>
      </c>
      <c r="L99" s="5" t="s">
        <v>956</v>
      </c>
      <c r="M99" s="5" t="s">
        <v>106</v>
      </c>
    </row>
    <row r="100" spans="1:13" ht="24" x14ac:dyDescent="0.25">
      <c r="A100" s="5" t="s">
        <v>959</v>
      </c>
      <c r="B100" s="5" t="s">
        <v>57</v>
      </c>
      <c r="C100" s="5" t="s">
        <v>922</v>
      </c>
      <c r="D100" s="5" t="s">
        <v>666</v>
      </c>
      <c r="E100" s="20" t="s">
        <v>960</v>
      </c>
      <c r="F100" s="13" t="s">
        <v>121</v>
      </c>
      <c r="G100" s="5" t="s">
        <v>106</v>
      </c>
      <c r="H100" s="5" t="s">
        <v>106</v>
      </c>
      <c r="I100" s="5" t="s">
        <v>106</v>
      </c>
      <c r="J100" s="5" t="s">
        <v>106</v>
      </c>
      <c r="K100" s="5" t="s">
        <v>2211</v>
      </c>
      <c r="L100" s="5" t="s">
        <v>962</v>
      </c>
      <c r="M100" s="5" t="s">
        <v>106</v>
      </c>
    </row>
    <row r="101" spans="1:13" ht="36" x14ac:dyDescent="0.25">
      <c r="A101" s="5" t="s">
        <v>965</v>
      </c>
      <c r="B101" s="5" t="s">
        <v>61</v>
      </c>
      <c r="C101" s="5" t="s">
        <v>966</v>
      </c>
      <c r="D101" s="5" t="s">
        <v>967</v>
      </c>
      <c r="E101" s="20" t="s">
        <v>970</v>
      </c>
      <c r="F101" s="12" t="s">
        <v>115</v>
      </c>
      <c r="G101" s="5" t="s">
        <v>106</v>
      </c>
      <c r="H101" s="5" t="s">
        <v>2254</v>
      </c>
      <c r="I101" s="5" t="s">
        <v>106</v>
      </c>
      <c r="J101" s="5" t="s">
        <v>106</v>
      </c>
      <c r="K101" s="5" t="s">
        <v>2255</v>
      </c>
      <c r="L101" s="5" t="s">
        <v>973</v>
      </c>
      <c r="M101" s="5" t="s">
        <v>2013</v>
      </c>
    </row>
    <row r="102" spans="1:13" ht="24" x14ac:dyDescent="0.25">
      <c r="A102" s="5" t="s">
        <v>977</v>
      </c>
      <c r="B102" s="5" t="s">
        <v>61</v>
      </c>
      <c r="C102" s="5" t="s">
        <v>966</v>
      </c>
      <c r="D102" s="5" t="s">
        <v>978</v>
      </c>
      <c r="E102" s="20" t="s">
        <v>981</v>
      </c>
      <c r="F102" s="12" t="s">
        <v>115</v>
      </c>
      <c r="G102" s="5" t="s">
        <v>106</v>
      </c>
      <c r="H102" s="5" t="s">
        <v>2256</v>
      </c>
      <c r="I102" s="5" t="s">
        <v>106</v>
      </c>
      <c r="J102" s="5" t="s">
        <v>106</v>
      </c>
      <c r="K102" s="5" t="s">
        <v>2182</v>
      </c>
      <c r="L102" s="5" t="s">
        <v>983</v>
      </c>
      <c r="M102" s="5" t="s">
        <v>2019</v>
      </c>
    </row>
    <row r="103" spans="1:13" ht="24" x14ac:dyDescent="0.25">
      <c r="A103" s="5" t="s">
        <v>986</v>
      </c>
      <c r="B103" s="5" t="s">
        <v>61</v>
      </c>
      <c r="C103" s="5" t="s">
        <v>966</v>
      </c>
      <c r="D103" s="5" t="s">
        <v>665</v>
      </c>
      <c r="E103" s="20" t="s">
        <v>987</v>
      </c>
      <c r="F103" s="12" t="s">
        <v>115</v>
      </c>
      <c r="G103" s="5" t="s">
        <v>106</v>
      </c>
      <c r="H103" s="5" t="s">
        <v>2254</v>
      </c>
      <c r="I103" s="5" t="s">
        <v>106</v>
      </c>
      <c r="J103" s="5" t="s">
        <v>106</v>
      </c>
      <c r="K103" s="5" t="s">
        <v>2182</v>
      </c>
      <c r="L103" s="5" t="s">
        <v>989</v>
      </c>
      <c r="M103" s="5" t="s">
        <v>2013</v>
      </c>
    </row>
    <row r="104" spans="1:13" ht="24" x14ac:dyDescent="0.25">
      <c r="A104" s="5" t="s">
        <v>992</v>
      </c>
      <c r="B104" s="5" t="s">
        <v>61</v>
      </c>
      <c r="C104" s="5" t="s">
        <v>966</v>
      </c>
      <c r="D104" s="5" t="s">
        <v>993</v>
      </c>
      <c r="E104" s="20" t="s">
        <v>994</v>
      </c>
      <c r="F104" s="13" t="s">
        <v>121</v>
      </c>
      <c r="G104" s="5" t="s">
        <v>106</v>
      </c>
      <c r="H104" s="5" t="s">
        <v>106</v>
      </c>
      <c r="I104" s="5" t="s">
        <v>106</v>
      </c>
      <c r="J104" s="5" t="s">
        <v>106</v>
      </c>
      <c r="K104" s="5" t="s">
        <v>2211</v>
      </c>
      <c r="L104" s="5" t="s">
        <v>996</v>
      </c>
      <c r="M104" s="5" t="s">
        <v>106</v>
      </c>
    </row>
    <row r="105" spans="1:13" ht="48" x14ac:dyDescent="0.25">
      <c r="A105" s="5" t="s">
        <v>999</v>
      </c>
      <c r="B105" s="5" t="s">
        <v>61</v>
      </c>
      <c r="C105" s="5" t="s">
        <v>966</v>
      </c>
      <c r="D105" s="5" t="s">
        <v>73</v>
      </c>
      <c r="E105" s="5" t="s">
        <v>106</v>
      </c>
      <c r="F105" s="12" t="s">
        <v>115</v>
      </c>
      <c r="G105" s="5" t="s">
        <v>106</v>
      </c>
      <c r="H105" s="5" t="s">
        <v>2257</v>
      </c>
      <c r="I105" s="5" t="s">
        <v>106</v>
      </c>
      <c r="J105" s="5" t="s">
        <v>106</v>
      </c>
      <c r="K105" s="5" t="s">
        <v>2182</v>
      </c>
      <c r="L105" s="5" t="s">
        <v>1003</v>
      </c>
      <c r="M105" s="5" t="s">
        <v>2258</v>
      </c>
    </row>
    <row r="106" spans="1:13" ht="24" x14ac:dyDescent="0.25">
      <c r="A106" s="5" t="s">
        <v>1004</v>
      </c>
      <c r="B106" s="5" t="s">
        <v>61</v>
      </c>
      <c r="C106" s="5" t="s">
        <v>1005</v>
      </c>
      <c r="D106" s="5" t="s">
        <v>978</v>
      </c>
      <c r="E106" s="20" t="s">
        <v>1006</v>
      </c>
      <c r="F106" s="13" t="s">
        <v>121</v>
      </c>
      <c r="G106" s="5" t="s">
        <v>106</v>
      </c>
      <c r="H106" s="5" t="s">
        <v>106</v>
      </c>
      <c r="I106" s="5" t="s">
        <v>106</v>
      </c>
      <c r="J106" s="5" t="s">
        <v>106</v>
      </c>
      <c r="K106" s="5" t="s">
        <v>2211</v>
      </c>
      <c r="L106" s="5" t="s">
        <v>1010</v>
      </c>
      <c r="M106" s="5" t="s">
        <v>106</v>
      </c>
    </row>
    <row r="107" spans="1:13" ht="24" x14ac:dyDescent="0.25">
      <c r="A107" s="5" t="s">
        <v>1013</v>
      </c>
      <c r="B107" s="5" t="s">
        <v>61</v>
      </c>
      <c r="C107" s="5" t="s">
        <v>1005</v>
      </c>
      <c r="D107" s="5" t="s">
        <v>1014</v>
      </c>
      <c r="E107" s="20" t="s">
        <v>1016</v>
      </c>
      <c r="F107" s="13" t="s">
        <v>121</v>
      </c>
      <c r="G107" s="5" t="s">
        <v>106</v>
      </c>
      <c r="H107" s="5" t="s">
        <v>106</v>
      </c>
      <c r="I107" s="5" t="s">
        <v>106</v>
      </c>
      <c r="J107" s="5" t="s">
        <v>106</v>
      </c>
      <c r="K107" s="5" t="s">
        <v>2211</v>
      </c>
      <c r="L107" s="5" t="s">
        <v>1018</v>
      </c>
      <c r="M107" s="5" t="s">
        <v>106</v>
      </c>
    </row>
    <row r="108" spans="1:13" ht="24" x14ac:dyDescent="0.25">
      <c r="A108" s="5" t="s">
        <v>1021</v>
      </c>
      <c r="B108" s="5" t="s">
        <v>61</v>
      </c>
      <c r="C108" s="5" t="s">
        <v>1005</v>
      </c>
      <c r="D108" s="5" t="s">
        <v>1022</v>
      </c>
      <c r="E108" s="20" t="s">
        <v>1024</v>
      </c>
      <c r="F108" s="13" t="s">
        <v>121</v>
      </c>
      <c r="G108" s="5" t="s">
        <v>106</v>
      </c>
      <c r="H108" s="5" t="s">
        <v>106</v>
      </c>
      <c r="I108" s="5" t="s">
        <v>106</v>
      </c>
      <c r="J108" s="5" t="s">
        <v>106</v>
      </c>
      <c r="K108" s="5" t="s">
        <v>2211</v>
      </c>
      <c r="L108" s="5" t="s">
        <v>1026</v>
      </c>
      <c r="M108" s="5" t="s">
        <v>106</v>
      </c>
    </row>
    <row r="109" spans="1:13" ht="24" x14ac:dyDescent="0.25">
      <c r="A109" s="5" t="s">
        <v>1029</v>
      </c>
      <c r="B109" s="5" t="s">
        <v>61</v>
      </c>
      <c r="C109" s="5" t="s">
        <v>1005</v>
      </c>
      <c r="D109" s="5" t="s">
        <v>665</v>
      </c>
      <c r="E109" s="20" t="s">
        <v>1030</v>
      </c>
      <c r="F109" s="13" t="s">
        <v>121</v>
      </c>
      <c r="G109" s="5" t="s">
        <v>106</v>
      </c>
      <c r="H109" s="5" t="s">
        <v>106</v>
      </c>
      <c r="I109" s="5" t="s">
        <v>106</v>
      </c>
      <c r="J109" s="5" t="s">
        <v>106</v>
      </c>
      <c r="K109" s="5" t="s">
        <v>2211</v>
      </c>
      <c r="L109" s="5" t="s">
        <v>1032</v>
      </c>
      <c r="M109" s="5" t="s">
        <v>106</v>
      </c>
    </row>
    <row r="110" spans="1:13" ht="24" x14ac:dyDescent="0.25">
      <c r="A110" s="5" t="s">
        <v>1035</v>
      </c>
      <c r="B110" s="5" t="s">
        <v>61</v>
      </c>
      <c r="C110" s="5" t="s">
        <v>1005</v>
      </c>
      <c r="D110" s="5" t="s">
        <v>993</v>
      </c>
      <c r="E110" s="20" t="s">
        <v>1036</v>
      </c>
      <c r="F110" s="13" t="s">
        <v>121</v>
      </c>
      <c r="G110" s="5" t="s">
        <v>106</v>
      </c>
      <c r="H110" s="5" t="s">
        <v>106</v>
      </c>
      <c r="I110" s="5" t="s">
        <v>106</v>
      </c>
      <c r="J110" s="5" t="s">
        <v>106</v>
      </c>
      <c r="K110" s="5" t="s">
        <v>2211</v>
      </c>
      <c r="L110" s="5" t="s">
        <v>1038</v>
      </c>
      <c r="M110" s="5" t="s">
        <v>106</v>
      </c>
    </row>
    <row r="111" spans="1:13" ht="24" x14ac:dyDescent="0.25">
      <c r="A111" s="5" t="s">
        <v>1041</v>
      </c>
      <c r="B111" s="5" t="s">
        <v>61</v>
      </c>
      <c r="C111" s="5" t="s">
        <v>1005</v>
      </c>
      <c r="D111" s="5" t="s">
        <v>73</v>
      </c>
      <c r="E111" s="5" t="s">
        <v>106</v>
      </c>
      <c r="F111" s="13" t="s">
        <v>121</v>
      </c>
      <c r="G111" s="5" t="s">
        <v>106</v>
      </c>
      <c r="H111" s="5" t="s">
        <v>106</v>
      </c>
      <c r="I111" s="5" t="s">
        <v>106</v>
      </c>
      <c r="J111" s="5" t="s">
        <v>106</v>
      </c>
      <c r="K111" s="5" t="s">
        <v>2211</v>
      </c>
      <c r="L111" s="5" t="s">
        <v>1043</v>
      </c>
      <c r="M111" s="5" t="s">
        <v>106</v>
      </c>
    </row>
    <row r="112" spans="1:13" ht="24" x14ac:dyDescent="0.25">
      <c r="A112" s="5" t="s">
        <v>1044</v>
      </c>
      <c r="B112" s="5" t="s">
        <v>61</v>
      </c>
      <c r="C112" s="5" t="s">
        <v>1005</v>
      </c>
      <c r="D112" s="5" t="s">
        <v>1045</v>
      </c>
      <c r="E112" s="20" t="s">
        <v>1048</v>
      </c>
      <c r="F112" s="13" t="s">
        <v>121</v>
      </c>
      <c r="G112" s="5" t="s">
        <v>106</v>
      </c>
      <c r="H112" s="5" t="s">
        <v>106</v>
      </c>
      <c r="I112" s="5" t="s">
        <v>106</v>
      </c>
      <c r="J112" s="5" t="s">
        <v>106</v>
      </c>
      <c r="K112" s="5" t="s">
        <v>2259</v>
      </c>
      <c r="L112" s="5" t="s">
        <v>1050</v>
      </c>
      <c r="M112" s="5" t="s">
        <v>106</v>
      </c>
    </row>
    <row r="113" spans="1:13" ht="24" x14ac:dyDescent="0.25">
      <c r="A113" s="5" t="s">
        <v>1053</v>
      </c>
      <c r="B113" s="5" t="s">
        <v>61</v>
      </c>
      <c r="C113" s="5" t="s">
        <v>1054</v>
      </c>
      <c r="D113" s="5" t="s">
        <v>1055</v>
      </c>
      <c r="E113" s="5" t="s">
        <v>106</v>
      </c>
      <c r="F113" s="13" t="s">
        <v>121</v>
      </c>
      <c r="G113" s="5" t="s">
        <v>106</v>
      </c>
      <c r="H113" s="5" t="s">
        <v>106</v>
      </c>
      <c r="I113" s="5" t="s">
        <v>106</v>
      </c>
      <c r="J113" s="5" t="s">
        <v>106</v>
      </c>
      <c r="K113" s="5" t="s">
        <v>2211</v>
      </c>
      <c r="L113" s="5" t="s">
        <v>1060</v>
      </c>
      <c r="M113" s="5" t="s">
        <v>106</v>
      </c>
    </row>
    <row r="114" spans="1:13" ht="24" x14ac:dyDescent="0.25">
      <c r="A114" s="5" t="s">
        <v>1061</v>
      </c>
      <c r="B114" s="5" t="s">
        <v>61</v>
      </c>
      <c r="C114" s="5" t="s">
        <v>1054</v>
      </c>
      <c r="D114" s="5" t="s">
        <v>1062</v>
      </c>
      <c r="E114" s="5" t="s">
        <v>106</v>
      </c>
      <c r="F114" s="13" t="s">
        <v>121</v>
      </c>
      <c r="G114" s="5" t="s">
        <v>106</v>
      </c>
      <c r="H114" s="5" t="s">
        <v>106</v>
      </c>
      <c r="I114" s="5" t="s">
        <v>106</v>
      </c>
      <c r="J114" s="5" t="s">
        <v>106</v>
      </c>
      <c r="K114" s="5" t="s">
        <v>2211</v>
      </c>
      <c r="L114" s="5" t="s">
        <v>1064</v>
      </c>
      <c r="M114" s="5" t="s">
        <v>106</v>
      </c>
    </row>
    <row r="115" spans="1:13" ht="24" x14ac:dyDescent="0.25">
      <c r="A115" s="5" t="s">
        <v>1065</v>
      </c>
      <c r="B115" s="5" t="s">
        <v>61</v>
      </c>
      <c r="C115" s="5" t="s">
        <v>1054</v>
      </c>
      <c r="D115" s="5" t="s">
        <v>1066</v>
      </c>
      <c r="E115" s="5" t="s">
        <v>106</v>
      </c>
      <c r="F115" s="13" t="s">
        <v>121</v>
      </c>
      <c r="G115" s="5" t="s">
        <v>106</v>
      </c>
      <c r="H115" s="5" t="s">
        <v>106</v>
      </c>
      <c r="I115" s="5" t="s">
        <v>106</v>
      </c>
      <c r="J115" s="5" t="s">
        <v>106</v>
      </c>
      <c r="K115" s="5" t="s">
        <v>2260</v>
      </c>
      <c r="L115" s="5" t="s">
        <v>1069</v>
      </c>
      <c r="M115" s="5" t="s">
        <v>106</v>
      </c>
    </row>
    <row r="116" spans="1:13" ht="24" x14ac:dyDescent="0.25">
      <c r="A116" s="5" t="s">
        <v>1070</v>
      </c>
      <c r="B116" s="5" t="s">
        <v>61</v>
      </c>
      <c r="C116" s="5" t="s">
        <v>1054</v>
      </c>
      <c r="D116" s="5" t="s">
        <v>1071</v>
      </c>
      <c r="E116" s="5" t="s">
        <v>1073</v>
      </c>
      <c r="F116" s="14" t="s">
        <v>123</v>
      </c>
      <c r="G116" s="5" t="s">
        <v>106</v>
      </c>
      <c r="H116" s="5" t="s">
        <v>106</v>
      </c>
      <c r="I116" s="5" t="s">
        <v>106</v>
      </c>
      <c r="J116" s="5" t="s">
        <v>106</v>
      </c>
      <c r="K116" s="5" t="s">
        <v>2199</v>
      </c>
      <c r="L116" s="5" t="s">
        <v>1075</v>
      </c>
      <c r="M116" s="5" t="s">
        <v>106</v>
      </c>
    </row>
    <row r="117" spans="1:13" ht="24" x14ac:dyDescent="0.25">
      <c r="A117" s="5" t="s">
        <v>1078</v>
      </c>
      <c r="B117" s="5" t="s">
        <v>61</v>
      </c>
      <c r="C117" s="5" t="s">
        <v>1054</v>
      </c>
      <c r="D117" s="5" t="s">
        <v>1079</v>
      </c>
      <c r="E117" s="5" t="s">
        <v>1082</v>
      </c>
      <c r="F117" s="14" t="s">
        <v>123</v>
      </c>
      <c r="G117" s="5" t="s">
        <v>106</v>
      </c>
      <c r="H117" s="5" t="s">
        <v>106</v>
      </c>
      <c r="I117" s="5" t="s">
        <v>106</v>
      </c>
      <c r="J117" s="5" t="s">
        <v>106</v>
      </c>
      <c r="K117" s="5" t="s">
        <v>2199</v>
      </c>
      <c r="L117" s="5" t="s">
        <v>1084</v>
      </c>
      <c r="M117" s="5" t="s">
        <v>106</v>
      </c>
    </row>
    <row r="118" spans="1:13" ht="24" x14ac:dyDescent="0.25">
      <c r="A118" s="5" t="s">
        <v>1087</v>
      </c>
      <c r="B118" s="5" t="s">
        <v>67</v>
      </c>
      <c r="C118" s="5" t="s">
        <v>1088</v>
      </c>
      <c r="D118" s="5" t="s">
        <v>274</v>
      </c>
      <c r="E118" s="5" t="s">
        <v>1089</v>
      </c>
      <c r="F118" s="12" t="s">
        <v>115</v>
      </c>
      <c r="G118" s="5" t="s">
        <v>2204</v>
      </c>
      <c r="H118" s="5" t="s">
        <v>106</v>
      </c>
      <c r="I118" s="5" t="s">
        <v>106</v>
      </c>
      <c r="J118" s="5" t="s">
        <v>106</v>
      </c>
      <c r="K118" s="5" t="s">
        <v>2182</v>
      </c>
      <c r="L118" s="5" t="s">
        <v>1092</v>
      </c>
      <c r="M118" s="5" t="s">
        <v>1721</v>
      </c>
    </row>
    <row r="119" spans="1:13" ht="24" x14ac:dyDescent="0.25">
      <c r="A119" s="5" t="s">
        <v>1095</v>
      </c>
      <c r="B119" s="5" t="s">
        <v>67</v>
      </c>
      <c r="C119" s="5" t="s">
        <v>1088</v>
      </c>
      <c r="D119" s="5" t="s">
        <v>282</v>
      </c>
      <c r="E119" s="5" t="s">
        <v>1096</v>
      </c>
      <c r="F119" s="13" t="s">
        <v>121</v>
      </c>
      <c r="G119" s="5" t="s">
        <v>106</v>
      </c>
      <c r="H119" s="5" t="s">
        <v>106</v>
      </c>
      <c r="I119" s="5" t="s">
        <v>106</v>
      </c>
      <c r="J119" s="5" t="s">
        <v>106</v>
      </c>
      <c r="K119" s="5" t="s">
        <v>2211</v>
      </c>
      <c r="L119" s="5" t="s">
        <v>1098</v>
      </c>
      <c r="M119" s="5" t="s">
        <v>106</v>
      </c>
    </row>
    <row r="120" spans="1:13" ht="36" x14ac:dyDescent="0.25">
      <c r="A120" s="5" t="s">
        <v>1101</v>
      </c>
      <c r="B120" s="5" t="s">
        <v>67</v>
      </c>
      <c r="C120" s="5" t="s">
        <v>1088</v>
      </c>
      <c r="D120" s="5" t="s">
        <v>290</v>
      </c>
      <c r="E120" s="5" t="s">
        <v>1102</v>
      </c>
      <c r="F120" s="16" t="s">
        <v>117</v>
      </c>
      <c r="G120" s="5" t="s">
        <v>2207</v>
      </c>
      <c r="H120" s="5" t="s">
        <v>106</v>
      </c>
      <c r="I120" s="5" t="s">
        <v>106</v>
      </c>
      <c r="J120" s="5" t="s">
        <v>106</v>
      </c>
      <c r="K120" s="5" t="s">
        <v>2261</v>
      </c>
      <c r="L120" s="5" t="s">
        <v>1104</v>
      </c>
      <c r="M120" s="5" t="s">
        <v>1815</v>
      </c>
    </row>
    <row r="121" spans="1:13" ht="24" x14ac:dyDescent="0.25">
      <c r="A121" s="5" t="s">
        <v>1108</v>
      </c>
      <c r="B121" s="5" t="s">
        <v>67</v>
      </c>
      <c r="C121" s="5" t="s">
        <v>1088</v>
      </c>
      <c r="D121" s="5" t="s">
        <v>297</v>
      </c>
      <c r="E121" s="5" t="s">
        <v>1109</v>
      </c>
      <c r="F121" s="13" t="s">
        <v>121</v>
      </c>
      <c r="G121" s="5" t="s">
        <v>106</v>
      </c>
      <c r="H121" s="5" t="s">
        <v>106</v>
      </c>
      <c r="I121" s="5" t="s">
        <v>106</v>
      </c>
      <c r="J121" s="5" t="s">
        <v>106</v>
      </c>
      <c r="K121" s="5" t="s">
        <v>2211</v>
      </c>
      <c r="L121" s="5" t="s">
        <v>1111</v>
      </c>
      <c r="M121" s="5" t="s">
        <v>106</v>
      </c>
    </row>
    <row r="122" spans="1:13" ht="24" x14ac:dyDescent="0.25">
      <c r="A122" s="5" t="s">
        <v>1114</v>
      </c>
      <c r="B122" s="5" t="s">
        <v>67</v>
      </c>
      <c r="C122" s="5" t="s">
        <v>1088</v>
      </c>
      <c r="D122" s="5" t="s">
        <v>304</v>
      </c>
      <c r="E122" s="5" t="s">
        <v>1115</v>
      </c>
      <c r="F122" s="13" t="s">
        <v>121</v>
      </c>
      <c r="G122" s="5" t="s">
        <v>106</v>
      </c>
      <c r="H122" s="5" t="s">
        <v>106</v>
      </c>
      <c r="I122" s="5" t="s">
        <v>106</v>
      </c>
      <c r="J122" s="5" t="s">
        <v>106</v>
      </c>
      <c r="K122" s="5" t="s">
        <v>2211</v>
      </c>
      <c r="L122" s="5" t="s">
        <v>1117</v>
      </c>
      <c r="M122" s="5" t="s">
        <v>106</v>
      </c>
    </row>
    <row r="123" spans="1:13" ht="24" x14ac:dyDescent="0.25">
      <c r="A123" s="5" t="s">
        <v>1120</v>
      </c>
      <c r="B123" s="5" t="s">
        <v>67</v>
      </c>
      <c r="C123" s="5" t="s">
        <v>1088</v>
      </c>
      <c r="D123" s="5" t="s">
        <v>1121</v>
      </c>
      <c r="E123" s="5" t="s">
        <v>106</v>
      </c>
      <c r="F123" s="16" t="s">
        <v>117</v>
      </c>
      <c r="G123" s="5" t="s">
        <v>106</v>
      </c>
      <c r="H123" s="5" t="s">
        <v>2262</v>
      </c>
      <c r="I123" s="5" t="s">
        <v>106</v>
      </c>
      <c r="J123" s="5" t="s">
        <v>106</v>
      </c>
      <c r="K123" s="5" t="s">
        <v>2213</v>
      </c>
      <c r="L123" s="5" t="s">
        <v>1123</v>
      </c>
      <c r="M123" s="5" t="s">
        <v>2013</v>
      </c>
    </row>
    <row r="124" spans="1:13" ht="24" x14ac:dyDescent="0.25">
      <c r="A124" s="5" t="s">
        <v>1124</v>
      </c>
      <c r="B124" s="5" t="s">
        <v>67</v>
      </c>
      <c r="C124" s="5" t="s">
        <v>1125</v>
      </c>
      <c r="D124" s="5" t="s">
        <v>1126</v>
      </c>
      <c r="E124" s="5" t="s">
        <v>1129</v>
      </c>
      <c r="F124" s="12" t="s">
        <v>115</v>
      </c>
      <c r="G124" s="5" t="s">
        <v>2263</v>
      </c>
      <c r="H124" s="5" t="s">
        <v>106</v>
      </c>
      <c r="I124" s="5" t="s">
        <v>106</v>
      </c>
      <c r="J124" s="5" t="s">
        <v>106</v>
      </c>
      <c r="K124" s="5" t="s">
        <v>2182</v>
      </c>
      <c r="L124" s="5" t="s">
        <v>1133</v>
      </c>
      <c r="M124" s="5" t="s">
        <v>1680</v>
      </c>
    </row>
    <row r="125" spans="1:13" ht="24" x14ac:dyDescent="0.25">
      <c r="A125" s="5" t="s">
        <v>1136</v>
      </c>
      <c r="B125" s="5" t="s">
        <v>67</v>
      </c>
      <c r="C125" s="5" t="s">
        <v>1125</v>
      </c>
      <c r="D125" s="5" t="s">
        <v>1137</v>
      </c>
      <c r="E125" s="5" t="s">
        <v>106</v>
      </c>
      <c r="F125" s="14" t="s">
        <v>123</v>
      </c>
      <c r="G125" s="5" t="s">
        <v>106</v>
      </c>
      <c r="H125" s="5" t="s">
        <v>106</v>
      </c>
      <c r="I125" s="5" t="s">
        <v>106</v>
      </c>
      <c r="J125" s="5" t="s">
        <v>106</v>
      </c>
      <c r="K125" s="5" t="s">
        <v>2199</v>
      </c>
      <c r="L125" s="5" t="s">
        <v>1140</v>
      </c>
      <c r="M125" s="5" t="s">
        <v>106</v>
      </c>
    </row>
    <row r="126" spans="1:13" ht="24" x14ac:dyDescent="0.25">
      <c r="A126" s="5" t="s">
        <v>1141</v>
      </c>
      <c r="B126" s="5" t="s">
        <v>67</v>
      </c>
      <c r="C126" s="5" t="s">
        <v>1125</v>
      </c>
      <c r="D126" s="5" t="s">
        <v>1142</v>
      </c>
      <c r="E126" s="5" t="s">
        <v>106</v>
      </c>
      <c r="F126" s="14" t="s">
        <v>123</v>
      </c>
      <c r="G126" s="5" t="s">
        <v>106</v>
      </c>
      <c r="H126" s="5" t="s">
        <v>106</v>
      </c>
      <c r="I126" s="5" t="s">
        <v>106</v>
      </c>
      <c r="J126" s="5" t="s">
        <v>106</v>
      </c>
      <c r="K126" s="5" t="s">
        <v>2199</v>
      </c>
      <c r="L126" s="5" t="s">
        <v>1144</v>
      </c>
      <c r="M126" s="5" t="s">
        <v>106</v>
      </c>
    </row>
    <row r="127" spans="1:13" ht="36" x14ac:dyDescent="0.25">
      <c r="A127" s="5" t="s">
        <v>1145</v>
      </c>
      <c r="B127" s="5" t="s">
        <v>1146</v>
      </c>
      <c r="C127" s="5" t="s">
        <v>1147</v>
      </c>
      <c r="D127" s="5" t="s">
        <v>1148</v>
      </c>
      <c r="E127" s="20" t="s">
        <v>1149</v>
      </c>
      <c r="F127" s="12" t="s">
        <v>115</v>
      </c>
      <c r="G127" s="5" t="s">
        <v>2264</v>
      </c>
      <c r="H127" s="5" t="s">
        <v>106</v>
      </c>
      <c r="I127" s="5" t="s">
        <v>106</v>
      </c>
      <c r="J127" s="5" t="s">
        <v>106</v>
      </c>
      <c r="K127" s="5" t="s">
        <v>2265</v>
      </c>
      <c r="L127" s="5" t="s">
        <v>1153</v>
      </c>
      <c r="M127" s="5" t="s">
        <v>1688</v>
      </c>
    </row>
    <row r="128" spans="1:13" ht="36" x14ac:dyDescent="0.25">
      <c r="A128" s="5" t="s">
        <v>1156</v>
      </c>
      <c r="B128" s="5" t="s">
        <v>1146</v>
      </c>
      <c r="C128" s="5" t="s">
        <v>1147</v>
      </c>
      <c r="D128" s="5" t="s">
        <v>199</v>
      </c>
      <c r="E128" s="20" t="s">
        <v>1157</v>
      </c>
      <c r="F128" s="12" t="s">
        <v>115</v>
      </c>
      <c r="G128" s="5" t="s">
        <v>2266</v>
      </c>
      <c r="H128" s="5" t="s">
        <v>106</v>
      </c>
      <c r="I128" s="5" t="s">
        <v>106</v>
      </c>
      <c r="J128" s="5" t="s">
        <v>106</v>
      </c>
      <c r="K128" s="5" t="s">
        <v>2265</v>
      </c>
      <c r="L128" s="5" t="s">
        <v>1159</v>
      </c>
      <c r="M128" s="5" t="s">
        <v>1698</v>
      </c>
    </row>
    <row r="129" spans="1:13" ht="36" x14ac:dyDescent="0.25">
      <c r="A129" s="5" t="s">
        <v>1162</v>
      </c>
      <c r="B129" s="5" t="s">
        <v>1146</v>
      </c>
      <c r="C129" s="5" t="s">
        <v>1147</v>
      </c>
      <c r="D129" s="5" t="s">
        <v>206</v>
      </c>
      <c r="E129" s="20" t="s">
        <v>1163</v>
      </c>
      <c r="F129" s="12" t="s">
        <v>115</v>
      </c>
      <c r="G129" s="5" t="s">
        <v>2191</v>
      </c>
      <c r="H129" s="5" t="s">
        <v>106</v>
      </c>
      <c r="I129" s="5" t="s">
        <v>106</v>
      </c>
      <c r="J129" s="5" t="s">
        <v>106</v>
      </c>
      <c r="K129" s="5" t="s">
        <v>2265</v>
      </c>
      <c r="L129" s="5" t="s">
        <v>1165</v>
      </c>
      <c r="M129" s="5" t="s">
        <v>1694</v>
      </c>
    </row>
    <row r="130" spans="1:13" ht="36" x14ac:dyDescent="0.25">
      <c r="A130" s="5" t="s">
        <v>1168</v>
      </c>
      <c r="B130" s="5" t="s">
        <v>1146</v>
      </c>
      <c r="C130" s="5" t="s">
        <v>1147</v>
      </c>
      <c r="D130" s="5" t="s">
        <v>1169</v>
      </c>
      <c r="E130" s="20" t="s">
        <v>1171</v>
      </c>
      <c r="F130" s="12" t="s">
        <v>115</v>
      </c>
      <c r="G130" s="5" t="s">
        <v>2267</v>
      </c>
      <c r="H130" s="5" t="s">
        <v>106</v>
      </c>
      <c r="I130" s="5" t="s">
        <v>106</v>
      </c>
      <c r="J130" s="5" t="s">
        <v>106</v>
      </c>
      <c r="K130" s="5" t="s">
        <v>2265</v>
      </c>
      <c r="L130" s="5" t="s">
        <v>1173</v>
      </c>
      <c r="M130" s="5" t="s">
        <v>1704</v>
      </c>
    </row>
    <row r="131" spans="1:13" ht="36" x14ac:dyDescent="0.25">
      <c r="A131" s="5" t="s">
        <v>1176</v>
      </c>
      <c r="B131" s="5" t="s">
        <v>1146</v>
      </c>
      <c r="C131" s="5" t="s">
        <v>1147</v>
      </c>
      <c r="D131" s="5" t="s">
        <v>1177</v>
      </c>
      <c r="E131" s="20" t="s">
        <v>1179</v>
      </c>
      <c r="F131" s="12" t="s">
        <v>115</v>
      </c>
      <c r="G131" s="5" t="s">
        <v>2268</v>
      </c>
      <c r="H131" s="5" t="s">
        <v>106</v>
      </c>
      <c r="I131" s="5" t="s">
        <v>106</v>
      </c>
      <c r="J131" s="5" t="s">
        <v>106</v>
      </c>
      <c r="K131" s="5" t="s">
        <v>2265</v>
      </c>
      <c r="L131" s="5" t="s">
        <v>1181</v>
      </c>
      <c r="M131" s="5" t="s">
        <v>1733</v>
      </c>
    </row>
    <row r="132" spans="1:13" ht="36" x14ac:dyDescent="0.25">
      <c r="A132" s="5" t="s">
        <v>1184</v>
      </c>
      <c r="B132" s="5" t="s">
        <v>1146</v>
      </c>
      <c r="C132" s="5" t="s">
        <v>1147</v>
      </c>
      <c r="D132" s="5" t="s">
        <v>188</v>
      </c>
      <c r="E132" s="20" t="s">
        <v>192</v>
      </c>
      <c r="F132" s="12" t="s">
        <v>115</v>
      </c>
      <c r="G132" s="5" t="s">
        <v>2269</v>
      </c>
      <c r="H132" s="5" t="s">
        <v>106</v>
      </c>
      <c r="I132" s="5" t="s">
        <v>106</v>
      </c>
      <c r="J132" s="5" t="s">
        <v>106</v>
      </c>
      <c r="K132" s="5" t="s">
        <v>2265</v>
      </c>
      <c r="L132" s="5" t="s">
        <v>1185</v>
      </c>
      <c r="M132" s="5" t="s">
        <v>1711</v>
      </c>
    </row>
    <row r="133" spans="1:13" ht="36" x14ac:dyDescent="0.25">
      <c r="A133" s="5" t="s">
        <v>1186</v>
      </c>
      <c r="B133" s="5" t="s">
        <v>1146</v>
      </c>
      <c r="C133" s="5" t="s">
        <v>1147</v>
      </c>
      <c r="D133" s="5" t="s">
        <v>223</v>
      </c>
      <c r="E133" s="20" t="s">
        <v>225</v>
      </c>
      <c r="F133" s="12" t="s">
        <v>115</v>
      </c>
      <c r="G133" s="5" t="s">
        <v>2196</v>
      </c>
      <c r="H133" s="5" t="s">
        <v>106</v>
      </c>
      <c r="I133" s="5" t="s">
        <v>106</v>
      </c>
      <c r="J133" s="5" t="s">
        <v>106</v>
      </c>
      <c r="K133" s="5" t="s">
        <v>2265</v>
      </c>
      <c r="L133" s="5" t="s">
        <v>1187</v>
      </c>
      <c r="M133" s="5" t="s">
        <v>1727</v>
      </c>
    </row>
    <row r="134" spans="1:13" ht="36" x14ac:dyDescent="0.25">
      <c r="A134" s="5" t="s">
        <v>1188</v>
      </c>
      <c r="B134" s="5" t="s">
        <v>1146</v>
      </c>
      <c r="C134" s="5" t="s">
        <v>1147</v>
      </c>
      <c r="D134" s="5" t="s">
        <v>1189</v>
      </c>
      <c r="E134" s="20" t="s">
        <v>260</v>
      </c>
      <c r="F134" s="12" t="s">
        <v>115</v>
      </c>
      <c r="G134" s="5" t="s">
        <v>2201</v>
      </c>
      <c r="H134" s="5" t="s">
        <v>106</v>
      </c>
      <c r="I134" s="5" t="s">
        <v>106</v>
      </c>
      <c r="J134" s="5" t="s">
        <v>106</v>
      </c>
      <c r="K134" s="5" t="s">
        <v>2265</v>
      </c>
      <c r="L134" s="5" t="s">
        <v>1190</v>
      </c>
      <c r="M134" s="5" t="s">
        <v>1716</v>
      </c>
    </row>
    <row r="135" spans="1:13" ht="48" x14ac:dyDescent="0.25">
      <c r="A135" s="5" t="s">
        <v>1191</v>
      </c>
      <c r="B135" s="5" t="s">
        <v>1146</v>
      </c>
      <c r="C135" s="5" t="s">
        <v>1147</v>
      </c>
      <c r="D135" s="5" t="s">
        <v>214</v>
      </c>
      <c r="E135" s="20" t="s">
        <v>216</v>
      </c>
      <c r="F135" s="12" t="s">
        <v>115</v>
      </c>
      <c r="G135" s="5" t="s">
        <v>2270</v>
      </c>
      <c r="H135" s="5" t="s">
        <v>106</v>
      </c>
      <c r="I135" s="5" t="s">
        <v>106</v>
      </c>
      <c r="J135" s="5" t="s">
        <v>106</v>
      </c>
      <c r="K135" s="5" t="s">
        <v>2265</v>
      </c>
      <c r="L135" s="5" t="s">
        <v>1192</v>
      </c>
      <c r="M135" s="5" t="s">
        <v>2271</v>
      </c>
    </row>
    <row r="136" spans="1:13" ht="36" x14ac:dyDescent="0.25">
      <c r="A136" s="5" t="s">
        <v>1193</v>
      </c>
      <c r="B136" s="5" t="s">
        <v>1146</v>
      </c>
      <c r="C136" s="5" t="s">
        <v>1147</v>
      </c>
      <c r="D136" s="5" t="s">
        <v>1194</v>
      </c>
      <c r="E136" s="20" t="s">
        <v>276</v>
      </c>
      <c r="F136" s="12" t="s">
        <v>115</v>
      </c>
      <c r="G136" s="5" t="s">
        <v>2204</v>
      </c>
      <c r="H136" s="5" t="s">
        <v>106</v>
      </c>
      <c r="I136" s="5" t="s">
        <v>106</v>
      </c>
      <c r="J136" s="5" t="s">
        <v>106</v>
      </c>
      <c r="K136" s="5" t="s">
        <v>2265</v>
      </c>
      <c r="L136" s="5" t="s">
        <v>1195</v>
      </c>
      <c r="M136" s="5" t="s">
        <v>1721</v>
      </c>
    </row>
    <row r="137" spans="1:13" ht="36" x14ac:dyDescent="0.25">
      <c r="A137" s="5" t="s">
        <v>1196</v>
      </c>
      <c r="B137" s="5" t="s">
        <v>1146</v>
      </c>
      <c r="C137" s="5" t="s">
        <v>1197</v>
      </c>
      <c r="D137" s="5" t="s">
        <v>1198</v>
      </c>
      <c r="E137" s="5" t="s">
        <v>106</v>
      </c>
      <c r="F137" s="14" t="s">
        <v>123</v>
      </c>
      <c r="G137" s="5" t="s">
        <v>106</v>
      </c>
      <c r="H137" s="5" t="s">
        <v>106</v>
      </c>
      <c r="I137" s="5" t="s">
        <v>106</v>
      </c>
      <c r="J137" s="5" t="s">
        <v>106</v>
      </c>
      <c r="K137" s="5" t="s">
        <v>2199</v>
      </c>
      <c r="L137" s="5" t="s">
        <v>1202</v>
      </c>
      <c r="M137" s="5" t="s">
        <v>106</v>
      </c>
    </row>
    <row r="138" spans="1:13" ht="36" x14ac:dyDescent="0.25">
      <c r="A138" s="5" t="s">
        <v>1203</v>
      </c>
      <c r="B138" s="5" t="s">
        <v>1146</v>
      </c>
      <c r="C138" s="5" t="s">
        <v>1204</v>
      </c>
      <c r="D138" s="5" t="s">
        <v>290</v>
      </c>
      <c r="E138" s="20" t="s">
        <v>1208</v>
      </c>
      <c r="F138" s="12" t="s">
        <v>115</v>
      </c>
      <c r="G138" s="5" t="s">
        <v>2272</v>
      </c>
      <c r="H138" s="5" t="s">
        <v>106</v>
      </c>
      <c r="I138" s="5" t="s">
        <v>106</v>
      </c>
      <c r="J138" s="5" t="s">
        <v>106</v>
      </c>
      <c r="K138" s="5" t="s">
        <v>2265</v>
      </c>
      <c r="L138" s="5" t="s">
        <v>1211</v>
      </c>
      <c r="M138" s="5" t="s">
        <v>1815</v>
      </c>
    </row>
    <row r="139" spans="1:13" ht="36" x14ac:dyDescent="0.25">
      <c r="A139" s="5" t="s">
        <v>1214</v>
      </c>
      <c r="B139" s="5" t="s">
        <v>1146</v>
      </c>
      <c r="C139" s="5" t="s">
        <v>1204</v>
      </c>
      <c r="D139" s="5" t="s">
        <v>1215</v>
      </c>
      <c r="E139" s="20" t="s">
        <v>1216</v>
      </c>
      <c r="F139" s="12" t="s">
        <v>115</v>
      </c>
      <c r="G139" s="5" t="s">
        <v>2273</v>
      </c>
      <c r="H139" s="5" t="s">
        <v>106</v>
      </c>
      <c r="I139" s="5" t="s">
        <v>106</v>
      </c>
      <c r="J139" s="5" t="s">
        <v>106</v>
      </c>
      <c r="K139" s="5" t="s">
        <v>2265</v>
      </c>
      <c r="L139" s="5" t="s">
        <v>1218</v>
      </c>
      <c r="M139" s="5" t="s">
        <v>1779</v>
      </c>
    </row>
    <row r="140" spans="1:13" ht="36" x14ac:dyDescent="0.25">
      <c r="A140" s="5" t="s">
        <v>1221</v>
      </c>
      <c r="B140" s="5" t="s">
        <v>1146</v>
      </c>
      <c r="C140" s="5" t="s">
        <v>1204</v>
      </c>
      <c r="D140" s="5" t="s">
        <v>1222</v>
      </c>
      <c r="E140" s="20" t="s">
        <v>1224</v>
      </c>
      <c r="F140" s="12" t="s">
        <v>115</v>
      </c>
      <c r="G140" s="5" t="s">
        <v>2274</v>
      </c>
      <c r="H140" s="5" t="s">
        <v>106</v>
      </c>
      <c r="I140" s="5" t="s">
        <v>106</v>
      </c>
      <c r="J140" s="5" t="s">
        <v>106</v>
      </c>
      <c r="K140" s="5" t="s">
        <v>2265</v>
      </c>
      <c r="L140" s="5" t="s">
        <v>1226</v>
      </c>
      <c r="M140" s="5" t="s">
        <v>1784</v>
      </c>
    </row>
    <row r="141" spans="1:13" ht="36" x14ac:dyDescent="0.25">
      <c r="A141" s="5" t="s">
        <v>1229</v>
      </c>
      <c r="B141" s="5" t="s">
        <v>1146</v>
      </c>
      <c r="C141" s="5" t="s">
        <v>1204</v>
      </c>
      <c r="D141" s="5" t="s">
        <v>1230</v>
      </c>
      <c r="E141" s="20" t="s">
        <v>1231</v>
      </c>
      <c r="F141" s="12" t="s">
        <v>115</v>
      </c>
      <c r="G141" s="5" t="s">
        <v>2275</v>
      </c>
      <c r="H141" s="5" t="s">
        <v>106</v>
      </c>
      <c r="I141" s="5" t="s">
        <v>106</v>
      </c>
      <c r="J141" s="5" t="s">
        <v>106</v>
      </c>
      <c r="K141" s="5" t="s">
        <v>2265</v>
      </c>
      <c r="L141" s="5" t="s">
        <v>1233</v>
      </c>
      <c r="M141" s="5" t="s">
        <v>1786</v>
      </c>
    </row>
    <row r="142" spans="1:13" ht="36" x14ac:dyDescent="0.25">
      <c r="A142" s="5" t="s">
        <v>1236</v>
      </c>
      <c r="B142" s="5" t="s">
        <v>1146</v>
      </c>
      <c r="C142" s="5" t="s">
        <v>1204</v>
      </c>
      <c r="D142" s="5" t="s">
        <v>1237</v>
      </c>
      <c r="E142" s="20" t="s">
        <v>1238</v>
      </c>
      <c r="F142" s="12" t="s">
        <v>115</v>
      </c>
      <c r="G142" s="5" t="s">
        <v>2276</v>
      </c>
      <c r="H142" s="5" t="s">
        <v>106</v>
      </c>
      <c r="I142" s="5" t="s">
        <v>106</v>
      </c>
      <c r="J142" s="5" t="s">
        <v>106</v>
      </c>
      <c r="K142" s="5" t="s">
        <v>2265</v>
      </c>
      <c r="L142" s="5" t="s">
        <v>1240</v>
      </c>
      <c r="M142" s="5" t="s">
        <v>1788</v>
      </c>
    </row>
    <row r="143" spans="1:13" ht="36" x14ac:dyDescent="0.25">
      <c r="A143" s="5" t="s">
        <v>1243</v>
      </c>
      <c r="B143" s="5" t="s">
        <v>1146</v>
      </c>
      <c r="C143" s="5" t="s">
        <v>1204</v>
      </c>
      <c r="D143" s="5" t="s">
        <v>1244</v>
      </c>
      <c r="E143" s="20" t="s">
        <v>1245</v>
      </c>
      <c r="F143" s="12" t="s">
        <v>115</v>
      </c>
      <c r="G143" s="5" t="s">
        <v>2277</v>
      </c>
      <c r="H143" s="5" t="s">
        <v>106</v>
      </c>
      <c r="I143" s="5" t="s">
        <v>106</v>
      </c>
      <c r="J143" s="5" t="s">
        <v>106</v>
      </c>
      <c r="K143" s="5" t="s">
        <v>2265</v>
      </c>
      <c r="L143" s="5" t="s">
        <v>1247</v>
      </c>
      <c r="M143" s="5" t="s">
        <v>1790</v>
      </c>
    </row>
    <row r="144" spans="1:13" ht="36" x14ac:dyDescent="0.25">
      <c r="A144" s="5" t="s">
        <v>1250</v>
      </c>
      <c r="B144" s="5" t="s">
        <v>1146</v>
      </c>
      <c r="C144" s="5" t="s">
        <v>1204</v>
      </c>
      <c r="D144" s="5" t="s">
        <v>1251</v>
      </c>
      <c r="E144" s="20" t="s">
        <v>1252</v>
      </c>
      <c r="F144" s="12" t="s">
        <v>115</v>
      </c>
      <c r="G144" s="5" t="s">
        <v>2278</v>
      </c>
      <c r="H144" s="5" t="s">
        <v>106</v>
      </c>
      <c r="I144" s="5" t="s">
        <v>106</v>
      </c>
      <c r="J144" s="5" t="s">
        <v>106</v>
      </c>
      <c r="K144" s="5" t="s">
        <v>2265</v>
      </c>
      <c r="L144" s="5" t="s">
        <v>1254</v>
      </c>
      <c r="M144" s="5" t="s">
        <v>1792</v>
      </c>
    </row>
    <row r="145" spans="1:13" ht="36" x14ac:dyDescent="0.25">
      <c r="A145" s="5" t="s">
        <v>1257</v>
      </c>
      <c r="B145" s="5" t="s">
        <v>1146</v>
      </c>
      <c r="C145" s="5" t="s">
        <v>1258</v>
      </c>
      <c r="D145" s="5" t="s">
        <v>1259</v>
      </c>
      <c r="E145" s="20" t="s">
        <v>1260</v>
      </c>
      <c r="F145" s="12" t="s">
        <v>115</v>
      </c>
      <c r="G145" s="5" t="s">
        <v>2279</v>
      </c>
      <c r="H145" s="5" t="s">
        <v>106</v>
      </c>
      <c r="I145" s="5" t="s">
        <v>106</v>
      </c>
      <c r="J145" s="5" t="s">
        <v>106</v>
      </c>
      <c r="K145" s="5" t="s">
        <v>2265</v>
      </c>
      <c r="L145" s="5" t="s">
        <v>1262</v>
      </c>
      <c r="M145" s="5" t="s">
        <v>1795</v>
      </c>
    </row>
    <row r="146" spans="1:13" ht="36" x14ac:dyDescent="0.25">
      <c r="A146" s="5" t="s">
        <v>1265</v>
      </c>
      <c r="B146" s="5" t="s">
        <v>1146</v>
      </c>
      <c r="C146" s="5" t="s">
        <v>1258</v>
      </c>
      <c r="D146" s="5" t="s">
        <v>1266</v>
      </c>
      <c r="E146" s="20" t="s">
        <v>1267</v>
      </c>
      <c r="F146" s="12" t="s">
        <v>115</v>
      </c>
      <c r="G146" s="5" t="s">
        <v>2280</v>
      </c>
      <c r="H146" s="5" t="s">
        <v>106</v>
      </c>
      <c r="I146" s="5" t="s">
        <v>106</v>
      </c>
      <c r="J146" s="5" t="s">
        <v>106</v>
      </c>
      <c r="K146" s="5" t="s">
        <v>2265</v>
      </c>
      <c r="L146" s="5" t="s">
        <v>1269</v>
      </c>
      <c r="M146" s="5" t="s">
        <v>1798</v>
      </c>
    </row>
    <row r="147" spans="1:13" ht="36" x14ac:dyDescent="0.25">
      <c r="A147" s="5" t="s">
        <v>1272</v>
      </c>
      <c r="B147" s="5" t="s">
        <v>1146</v>
      </c>
      <c r="C147" s="5" t="s">
        <v>1258</v>
      </c>
      <c r="D147" s="5" t="s">
        <v>1273</v>
      </c>
      <c r="E147" s="20" t="s">
        <v>1274</v>
      </c>
      <c r="F147" s="12" t="s">
        <v>115</v>
      </c>
      <c r="G147" s="5" t="s">
        <v>2281</v>
      </c>
      <c r="H147" s="5" t="s">
        <v>106</v>
      </c>
      <c r="I147" s="5" t="s">
        <v>106</v>
      </c>
      <c r="J147" s="5" t="s">
        <v>106</v>
      </c>
      <c r="K147" s="5" t="s">
        <v>2265</v>
      </c>
      <c r="L147" s="5" t="s">
        <v>1276</v>
      </c>
      <c r="M147" s="5" t="s">
        <v>1801</v>
      </c>
    </row>
    <row r="148" spans="1:13" ht="36" x14ac:dyDescent="0.25">
      <c r="A148" s="5" t="s">
        <v>1279</v>
      </c>
      <c r="B148" s="5" t="s">
        <v>1146</v>
      </c>
      <c r="C148" s="5" t="s">
        <v>1258</v>
      </c>
      <c r="D148" s="5" t="s">
        <v>1280</v>
      </c>
      <c r="E148" s="20" t="s">
        <v>1281</v>
      </c>
      <c r="F148" s="12" t="s">
        <v>115</v>
      </c>
      <c r="G148" s="5" t="s">
        <v>2282</v>
      </c>
      <c r="H148" s="5" t="s">
        <v>106</v>
      </c>
      <c r="I148" s="5" t="s">
        <v>106</v>
      </c>
      <c r="J148" s="5" t="s">
        <v>106</v>
      </c>
      <c r="K148" s="5" t="s">
        <v>2265</v>
      </c>
      <c r="L148" s="5" t="s">
        <v>1283</v>
      </c>
      <c r="M148" s="5" t="s">
        <v>1804</v>
      </c>
    </row>
    <row r="149" spans="1:13" ht="36" x14ac:dyDescent="0.25">
      <c r="A149" s="5" t="s">
        <v>1286</v>
      </c>
      <c r="B149" s="5" t="s">
        <v>1146</v>
      </c>
      <c r="C149" s="5" t="s">
        <v>1258</v>
      </c>
      <c r="D149" s="5" t="s">
        <v>1287</v>
      </c>
      <c r="E149" s="20" t="s">
        <v>1288</v>
      </c>
      <c r="F149" s="12" t="s">
        <v>115</v>
      </c>
      <c r="G149" s="5" t="s">
        <v>2283</v>
      </c>
      <c r="H149" s="5" t="s">
        <v>106</v>
      </c>
      <c r="I149" s="5" t="s">
        <v>106</v>
      </c>
      <c r="J149" s="5" t="s">
        <v>106</v>
      </c>
      <c r="K149" s="5" t="s">
        <v>2265</v>
      </c>
      <c r="L149" s="5" t="s">
        <v>1290</v>
      </c>
      <c r="M149" s="5" t="s">
        <v>1807</v>
      </c>
    </row>
    <row r="150" spans="1:13" ht="36" x14ac:dyDescent="0.25">
      <c r="A150" s="5" t="s">
        <v>1293</v>
      </c>
      <c r="B150" s="5" t="s">
        <v>1146</v>
      </c>
      <c r="C150" s="5" t="s">
        <v>1258</v>
      </c>
      <c r="D150" s="5" t="s">
        <v>1294</v>
      </c>
      <c r="E150" s="20" t="s">
        <v>1295</v>
      </c>
      <c r="F150" s="12" t="s">
        <v>115</v>
      </c>
      <c r="G150" s="5" t="s">
        <v>2284</v>
      </c>
      <c r="H150" s="5" t="s">
        <v>106</v>
      </c>
      <c r="I150" s="5" t="s">
        <v>106</v>
      </c>
      <c r="J150" s="5" t="s">
        <v>106</v>
      </c>
      <c r="K150" s="5" t="s">
        <v>2265</v>
      </c>
      <c r="L150" s="5" t="s">
        <v>1297</v>
      </c>
      <c r="M150" s="5" t="s">
        <v>1809</v>
      </c>
    </row>
    <row r="151" spans="1:13" ht="36" x14ac:dyDescent="0.25">
      <c r="A151" s="5" t="s">
        <v>1300</v>
      </c>
      <c r="B151" s="5" t="s">
        <v>1146</v>
      </c>
      <c r="C151" s="5" t="s">
        <v>1258</v>
      </c>
      <c r="D151" s="5" t="s">
        <v>1301</v>
      </c>
      <c r="E151" s="20" t="s">
        <v>1302</v>
      </c>
      <c r="F151" s="12" t="s">
        <v>115</v>
      </c>
      <c r="G151" s="5" t="s">
        <v>2285</v>
      </c>
      <c r="H151" s="5" t="s">
        <v>106</v>
      </c>
      <c r="I151" s="5" t="s">
        <v>106</v>
      </c>
      <c r="J151" s="5" t="s">
        <v>106</v>
      </c>
      <c r="K151" s="5" t="s">
        <v>2265</v>
      </c>
      <c r="L151" s="5" t="s">
        <v>1304</v>
      </c>
      <c r="M151" s="5" t="s">
        <v>1811</v>
      </c>
    </row>
    <row r="152" spans="1:13" ht="48" x14ac:dyDescent="0.25">
      <c r="A152" s="5" t="s">
        <v>1307</v>
      </c>
      <c r="B152" s="5" t="s">
        <v>1146</v>
      </c>
      <c r="C152" s="5" t="s">
        <v>1258</v>
      </c>
      <c r="D152" s="5" t="s">
        <v>814</v>
      </c>
      <c r="E152" s="20" t="s">
        <v>1308</v>
      </c>
      <c r="F152" s="12" t="s">
        <v>115</v>
      </c>
      <c r="G152" s="5" t="s">
        <v>2286</v>
      </c>
      <c r="H152" s="5" t="s">
        <v>106</v>
      </c>
      <c r="I152" s="5" t="s">
        <v>106</v>
      </c>
      <c r="J152" s="5" t="s">
        <v>106</v>
      </c>
      <c r="K152" s="5" t="s">
        <v>2265</v>
      </c>
      <c r="L152" s="5" t="s">
        <v>1310</v>
      </c>
      <c r="M152" s="5" t="s">
        <v>2287</v>
      </c>
    </row>
    <row r="153" spans="1:13" ht="48" x14ac:dyDescent="0.25">
      <c r="A153" s="5" t="s">
        <v>1313</v>
      </c>
      <c r="B153" s="5" t="s">
        <v>1146</v>
      </c>
      <c r="C153" s="5" t="s">
        <v>1258</v>
      </c>
      <c r="D153" s="5" t="s">
        <v>804</v>
      </c>
      <c r="E153" s="20" t="s">
        <v>1315</v>
      </c>
      <c r="F153" s="12" t="s">
        <v>115</v>
      </c>
      <c r="G153" s="5" t="s">
        <v>2288</v>
      </c>
      <c r="H153" s="5" t="s">
        <v>106</v>
      </c>
      <c r="I153" s="5" t="s">
        <v>106</v>
      </c>
      <c r="J153" s="5" t="s">
        <v>106</v>
      </c>
      <c r="K153" s="5" t="s">
        <v>2265</v>
      </c>
      <c r="L153" s="5" t="s">
        <v>1317</v>
      </c>
      <c r="M153" s="5" t="s">
        <v>2289</v>
      </c>
    </row>
    <row r="154" spans="1:13" ht="36" x14ac:dyDescent="0.25">
      <c r="A154" s="5" t="s">
        <v>1320</v>
      </c>
      <c r="B154" s="5" t="s">
        <v>1146</v>
      </c>
      <c r="C154" s="5" t="s">
        <v>1258</v>
      </c>
      <c r="D154" s="5" t="s">
        <v>1321</v>
      </c>
      <c r="E154" s="20" t="s">
        <v>1322</v>
      </c>
      <c r="F154" s="12" t="s">
        <v>115</v>
      </c>
      <c r="G154" s="5" t="s">
        <v>2290</v>
      </c>
      <c r="H154" s="5" t="s">
        <v>106</v>
      </c>
      <c r="I154" s="5" t="s">
        <v>106</v>
      </c>
      <c r="J154" s="5" t="s">
        <v>106</v>
      </c>
      <c r="K154" s="5" t="s">
        <v>2265</v>
      </c>
      <c r="L154" s="5" t="s">
        <v>1324</v>
      </c>
      <c r="M154" s="5" t="s">
        <v>1757</v>
      </c>
    </row>
    <row r="155" spans="1:13" ht="36" x14ac:dyDescent="0.25">
      <c r="A155" s="5" t="s">
        <v>1327</v>
      </c>
      <c r="B155" s="5" t="s">
        <v>1146</v>
      </c>
      <c r="C155" s="5" t="s">
        <v>1258</v>
      </c>
      <c r="D155" s="5" t="s">
        <v>1328</v>
      </c>
      <c r="E155" s="20" t="s">
        <v>1329</v>
      </c>
      <c r="F155" s="12" t="s">
        <v>115</v>
      </c>
      <c r="G155" s="5" t="s">
        <v>2291</v>
      </c>
      <c r="H155" s="5" t="s">
        <v>106</v>
      </c>
      <c r="I155" s="5" t="s">
        <v>106</v>
      </c>
      <c r="J155" s="5" t="s">
        <v>106</v>
      </c>
      <c r="K155" s="5" t="s">
        <v>2265</v>
      </c>
      <c r="L155" s="5" t="s">
        <v>1331</v>
      </c>
      <c r="M155" s="5" t="s">
        <v>1765</v>
      </c>
    </row>
    <row r="156" spans="1:13" ht="36" x14ac:dyDescent="0.25">
      <c r="A156" s="5" t="s">
        <v>1334</v>
      </c>
      <c r="B156" s="5" t="s">
        <v>1146</v>
      </c>
      <c r="C156" s="5" t="s">
        <v>1258</v>
      </c>
      <c r="D156" s="5" t="s">
        <v>1335</v>
      </c>
      <c r="E156" s="20" t="s">
        <v>1337</v>
      </c>
      <c r="F156" s="12" t="s">
        <v>115</v>
      </c>
      <c r="G156" s="5" t="s">
        <v>2292</v>
      </c>
      <c r="H156" s="5" t="s">
        <v>106</v>
      </c>
      <c r="I156" s="5" t="s">
        <v>106</v>
      </c>
      <c r="J156" s="5" t="s">
        <v>106</v>
      </c>
      <c r="K156" s="5" t="s">
        <v>2265</v>
      </c>
      <c r="L156" s="5" t="s">
        <v>1339</v>
      </c>
      <c r="M156" s="5" t="s">
        <v>1770</v>
      </c>
    </row>
    <row r="157" spans="1:13" ht="36" x14ac:dyDescent="0.25">
      <c r="A157" s="5" t="s">
        <v>1342</v>
      </c>
      <c r="B157" s="5" t="s">
        <v>1146</v>
      </c>
      <c r="C157" s="5" t="s">
        <v>1258</v>
      </c>
      <c r="D157" s="5" t="s">
        <v>1343</v>
      </c>
      <c r="E157" s="20" t="s">
        <v>1344</v>
      </c>
      <c r="F157" s="12" t="s">
        <v>115</v>
      </c>
      <c r="G157" s="5" t="s">
        <v>2293</v>
      </c>
      <c r="H157" s="5" t="s">
        <v>106</v>
      </c>
      <c r="I157" s="5" t="s">
        <v>106</v>
      </c>
      <c r="J157" s="5" t="s">
        <v>106</v>
      </c>
      <c r="K157" s="5" t="s">
        <v>2265</v>
      </c>
      <c r="L157" s="5" t="s">
        <v>1346</v>
      </c>
      <c r="M157" s="5" t="s">
        <v>1774</v>
      </c>
    </row>
    <row r="158" spans="1:13" ht="36" x14ac:dyDescent="0.25">
      <c r="A158" s="5" t="s">
        <v>1349</v>
      </c>
      <c r="B158" s="5" t="s">
        <v>1146</v>
      </c>
      <c r="C158" s="5" t="s">
        <v>1258</v>
      </c>
      <c r="D158" s="5" t="s">
        <v>1350</v>
      </c>
      <c r="E158" s="20" t="s">
        <v>1352</v>
      </c>
      <c r="F158" s="12" t="s">
        <v>115</v>
      </c>
      <c r="G158" s="5" t="s">
        <v>2294</v>
      </c>
      <c r="H158" s="5" t="s">
        <v>106</v>
      </c>
      <c r="I158" s="5" t="s">
        <v>106</v>
      </c>
      <c r="J158" s="5" t="s">
        <v>106</v>
      </c>
      <c r="K158" s="5" t="s">
        <v>2265</v>
      </c>
      <c r="L158" s="5" t="s">
        <v>1354</v>
      </c>
      <c r="M158" s="5" t="s">
        <v>1762</v>
      </c>
    </row>
    <row r="159" spans="1:13" ht="36" x14ac:dyDescent="0.25">
      <c r="A159" s="5" t="s">
        <v>1357</v>
      </c>
      <c r="B159" s="5" t="s">
        <v>1146</v>
      </c>
      <c r="C159" s="5" t="s">
        <v>1358</v>
      </c>
      <c r="D159" s="5" t="s">
        <v>1359</v>
      </c>
      <c r="E159" s="20" t="s">
        <v>1360</v>
      </c>
      <c r="F159" s="12" t="s">
        <v>115</v>
      </c>
      <c r="G159" s="5" t="s">
        <v>2295</v>
      </c>
      <c r="H159" s="5" t="s">
        <v>106</v>
      </c>
      <c r="I159" s="5" t="s">
        <v>106</v>
      </c>
      <c r="J159" s="5" t="s">
        <v>106</v>
      </c>
      <c r="K159" s="5" t="s">
        <v>2265</v>
      </c>
      <c r="L159" s="5" t="s">
        <v>1362</v>
      </c>
      <c r="M159" s="5" t="s">
        <v>1818</v>
      </c>
    </row>
    <row r="160" spans="1:13" ht="36" x14ac:dyDescent="0.25">
      <c r="A160" s="5" t="s">
        <v>1365</v>
      </c>
      <c r="B160" s="5" t="s">
        <v>1146</v>
      </c>
      <c r="C160" s="5" t="s">
        <v>1366</v>
      </c>
      <c r="D160" s="5" t="s">
        <v>1367</v>
      </c>
      <c r="E160" s="20" t="s">
        <v>1368</v>
      </c>
      <c r="F160" s="12" t="s">
        <v>115</v>
      </c>
      <c r="G160" s="5" t="s">
        <v>2296</v>
      </c>
      <c r="H160" s="5" t="s">
        <v>106</v>
      </c>
      <c r="I160" s="5" t="s">
        <v>106</v>
      </c>
      <c r="J160" s="5" t="s">
        <v>106</v>
      </c>
      <c r="K160" s="5" t="s">
        <v>2265</v>
      </c>
      <c r="L160" s="5" t="s">
        <v>1370</v>
      </c>
      <c r="M160" s="5" t="s">
        <v>1823</v>
      </c>
    </row>
    <row r="161" spans="1:13" ht="36" x14ac:dyDescent="0.25">
      <c r="A161" s="5" t="s">
        <v>1373</v>
      </c>
      <c r="B161" s="5" t="s">
        <v>1146</v>
      </c>
      <c r="C161" s="5" t="s">
        <v>1366</v>
      </c>
      <c r="D161" s="5" t="s">
        <v>1374</v>
      </c>
      <c r="E161" s="20" t="s">
        <v>1376</v>
      </c>
      <c r="F161" s="12" t="s">
        <v>115</v>
      </c>
      <c r="G161" s="5" t="s">
        <v>2297</v>
      </c>
      <c r="H161" s="5" t="s">
        <v>106</v>
      </c>
      <c r="I161" s="5" t="s">
        <v>106</v>
      </c>
      <c r="J161" s="5" t="s">
        <v>106</v>
      </c>
      <c r="K161" s="5" t="s">
        <v>2265</v>
      </c>
      <c r="L161" s="5" t="s">
        <v>1378</v>
      </c>
      <c r="M161" s="5" t="s">
        <v>1826</v>
      </c>
    </row>
    <row r="162" spans="1:13" ht="36" x14ac:dyDescent="0.25">
      <c r="A162" s="5" t="s">
        <v>1381</v>
      </c>
      <c r="B162" s="5" t="s">
        <v>1146</v>
      </c>
      <c r="C162" s="5" t="s">
        <v>1366</v>
      </c>
      <c r="D162" s="5" t="s">
        <v>1382</v>
      </c>
      <c r="E162" s="20" t="s">
        <v>1384</v>
      </c>
      <c r="F162" s="12" t="s">
        <v>115</v>
      </c>
      <c r="G162" s="5" t="s">
        <v>2298</v>
      </c>
      <c r="H162" s="5" t="s">
        <v>106</v>
      </c>
      <c r="I162" s="5" t="s">
        <v>106</v>
      </c>
      <c r="J162" s="5" t="s">
        <v>106</v>
      </c>
      <c r="K162" s="5" t="s">
        <v>2265</v>
      </c>
      <c r="L162" s="5" t="s">
        <v>1386</v>
      </c>
      <c r="M162" s="5" t="s">
        <v>1828</v>
      </c>
    </row>
    <row r="163" spans="1:13" ht="36" x14ac:dyDescent="0.25">
      <c r="A163" s="5" t="s">
        <v>1389</v>
      </c>
      <c r="B163" s="5" t="s">
        <v>1146</v>
      </c>
      <c r="C163" s="5" t="s">
        <v>1366</v>
      </c>
      <c r="D163" s="5" t="s">
        <v>1390</v>
      </c>
      <c r="E163" s="20" t="s">
        <v>1392</v>
      </c>
      <c r="F163" s="12" t="s">
        <v>115</v>
      </c>
      <c r="G163" s="5" t="s">
        <v>2299</v>
      </c>
      <c r="H163" s="5" t="s">
        <v>106</v>
      </c>
      <c r="I163" s="5" t="s">
        <v>106</v>
      </c>
      <c r="J163" s="5" t="s">
        <v>106</v>
      </c>
      <c r="K163" s="5" t="s">
        <v>2265</v>
      </c>
      <c r="L163" s="5" t="s">
        <v>1394</v>
      </c>
      <c r="M163" s="5" t="s">
        <v>1830</v>
      </c>
    </row>
    <row r="164" spans="1:13" ht="36" x14ac:dyDescent="0.25">
      <c r="A164" s="5" t="s">
        <v>1397</v>
      </c>
      <c r="B164" s="5" t="s">
        <v>1146</v>
      </c>
      <c r="C164" s="5" t="s">
        <v>1366</v>
      </c>
      <c r="D164" s="5" t="s">
        <v>1398</v>
      </c>
      <c r="E164" s="20" t="s">
        <v>1399</v>
      </c>
      <c r="F164" s="12" t="s">
        <v>115</v>
      </c>
      <c r="G164" s="5" t="s">
        <v>2300</v>
      </c>
      <c r="H164" s="5" t="s">
        <v>106</v>
      </c>
      <c r="I164" s="5" t="s">
        <v>106</v>
      </c>
      <c r="J164" s="5" t="s">
        <v>106</v>
      </c>
      <c r="K164" s="5" t="s">
        <v>2265</v>
      </c>
      <c r="L164" s="5" t="s">
        <v>1401</v>
      </c>
      <c r="M164" s="5" t="s">
        <v>1832</v>
      </c>
    </row>
    <row r="165" spans="1:13" ht="36" x14ac:dyDescent="0.25">
      <c r="A165" s="5" t="s">
        <v>1404</v>
      </c>
      <c r="B165" s="5" t="s">
        <v>1146</v>
      </c>
      <c r="C165" s="5" t="s">
        <v>1366</v>
      </c>
      <c r="D165" s="5" t="s">
        <v>1405</v>
      </c>
      <c r="E165" s="20" t="s">
        <v>1406</v>
      </c>
      <c r="F165" s="12" t="s">
        <v>115</v>
      </c>
      <c r="G165" s="5" t="s">
        <v>2301</v>
      </c>
      <c r="H165" s="5" t="s">
        <v>106</v>
      </c>
      <c r="I165" s="5" t="s">
        <v>106</v>
      </c>
      <c r="J165" s="5" t="s">
        <v>106</v>
      </c>
      <c r="K165" s="5" t="s">
        <v>2265</v>
      </c>
      <c r="L165" s="5" t="s">
        <v>1408</v>
      </c>
      <c r="M165" s="5" t="s">
        <v>1834</v>
      </c>
    </row>
    <row r="166" spans="1:13" ht="36" x14ac:dyDescent="0.25">
      <c r="A166" s="5" t="s">
        <v>1411</v>
      </c>
      <c r="B166" s="5" t="s">
        <v>1146</v>
      </c>
      <c r="C166" s="5" t="s">
        <v>1366</v>
      </c>
      <c r="D166" s="5" t="s">
        <v>1412</v>
      </c>
      <c r="E166" s="20" t="s">
        <v>1413</v>
      </c>
      <c r="F166" s="12" t="s">
        <v>115</v>
      </c>
      <c r="G166" s="5" t="s">
        <v>2302</v>
      </c>
      <c r="H166" s="5" t="s">
        <v>106</v>
      </c>
      <c r="I166" s="5" t="s">
        <v>106</v>
      </c>
      <c r="J166" s="5" t="s">
        <v>106</v>
      </c>
      <c r="K166" s="5" t="s">
        <v>2265</v>
      </c>
      <c r="L166" s="5" t="s">
        <v>1415</v>
      </c>
      <c r="M166" s="5" t="s">
        <v>1836</v>
      </c>
    </row>
    <row r="167" spans="1:13" ht="36" x14ac:dyDescent="0.25">
      <c r="A167" s="5" t="s">
        <v>1418</v>
      </c>
      <c r="B167" s="5" t="s">
        <v>1146</v>
      </c>
      <c r="C167" s="5" t="s">
        <v>1366</v>
      </c>
      <c r="D167" s="5" t="s">
        <v>1419</v>
      </c>
      <c r="E167" s="20" t="s">
        <v>1420</v>
      </c>
      <c r="F167" s="12" t="s">
        <v>115</v>
      </c>
      <c r="G167" s="5" t="s">
        <v>2303</v>
      </c>
      <c r="H167" s="5" t="s">
        <v>106</v>
      </c>
      <c r="I167" s="5" t="s">
        <v>106</v>
      </c>
      <c r="J167" s="5" t="s">
        <v>106</v>
      </c>
      <c r="K167" s="5" t="s">
        <v>2265</v>
      </c>
      <c r="L167" s="5" t="s">
        <v>1422</v>
      </c>
      <c r="M167" s="5" t="s">
        <v>1838</v>
      </c>
    </row>
    <row r="168" spans="1:13" ht="36" x14ac:dyDescent="0.25">
      <c r="A168" s="5" t="s">
        <v>1425</v>
      </c>
      <c r="B168" s="5" t="s">
        <v>1146</v>
      </c>
      <c r="C168" s="5" t="s">
        <v>1366</v>
      </c>
      <c r="D168" s="5" t="s">
        <v>1426</v>
      </c>
      <c r="E168" s="20" t="s">
        <v>1427</v>
      </c>
      <c r="F168" s="12" t="s">
        <v>115</v>
      </c>
      <c r="G168" s="5" t="s">
        <v>2304</v>
      </c>
      <c r="H168" s="5" t="s">
        <v>106</v>
      </c>
      <c r="I168" s="5" t="s">
        <v>106</v>
      </c>
      <c r="J168" s="5" t="s">
        <v>106</v>
      </c>
      <c r="K168" s="5" t="s">
        <v>2265</v>
      </c>
      <c r="L168" s="5" t="s">
        <v>1429</v>
      </c>
      <c r="M168" s="5" t="s">
        <v>1840</v>
      </c>
    </row>
    <row r="169" spans="1:13" ht="36" x14ac:dyDescent="0.25">
      <c r="A169" s="5" t="s">
        <v>1432</v>
      </c>
      <c r="B169" s="5" t="s">
        <v>1146</v>
      </c>
      <c r="C169" s="5" t="s">
        <v>1433</v>
      </c>
      <c r="D169" s="5" t="s">
        <v>553</v>
      </c>
      <c r="E169" s="20" t="s">
        <v>1435</v>
      </c>
      <c r="F169" s="12" t="s">
        <v>115</v>
      </c>
      <c r="G169" s="5" t="s">
        <v>2305</v>
      </c>
      <c r="H169" s="5" t="s">
        <v>106</v>
      </c>
      <c r="I169" s="5" t="s">
        <v>106</v>
      </c>
      <c r="J169" s="5" t="s">
        <v>106</v>
      </c>
      <c r="K169" s="5" t="s">
        <v>2265</v>
      </c>
      <c r="L169" s="5" t="s">
        <v>1438</v>
      </c>
      <c r="M169" s="5" t="s">
        <v>1853</v>
      </c>
    </row>
    <row r="170" spans="1:13" ht="36" x14ac:dyDescent="0.25">
      <c r="A170" s="5" t="s">
        <v>1441</v>
      </c>
      <c r="B170" s="5" t="s">
        <v>1146</v>
      </c>
      <c r="C170" s="5" t="s">
        <v>1433</v>
      </c>
      <c r="D170" s="5" t="s">
        <v>562</v>
      </c>
      <c r="E170" s="20" t="s">
        <v>1442</v>
      </c>
      <c r="F170" s="12" t="s">
        <v>115</v>
      </c>
      <c r="G170" s="5" t="s">
        <v>2306</v>
      </c>
      <c r="H170" s="5" t="s">
        <v>106</v>
      </c>
      <c r="I170" s="5" t="s">
        <v>106</v>
      </c>
      <c r="J170" s="5" t="s">
        <v>106</v>
      </c>
      <c r="K170" s="5" t="s">
        <v>2265</v>
      </c>
      <c r="L170" s="5" t="s">
        <v>1444</v>
      </c>
      <c r="M170" s="5" t="s">
        <v>1856</v>
      </c>
    </row>
    <row r="171" spans="1:13" ht="36" x14ac:dyDescent="0.25">
      <c r="A171" s="5" t="s">
        <v>1447</v>
      </c>
      <c r="B171" s="5" t="s">
        <v>1146</v>
      </c>
      <c r="C171" s="5" t="s">
        <v>1433</v>
      </c>
      <c r="D171" s="5" t="s">
        <v>5</v>
      </c>
      <c r="E171" s="20" t="s">
        <v>1448</v>
      </c>
      <c r="F171" s="12" t="s">
        <v>115</v>
      </c>
      <c r="G171" s="5" t="s">
        <v>2307</v>
      </c>
      <c r="H171" s="5" t="s">
        <v>106</v>
      </c>
      <c r="I171" s="5" t="s">
        <v>106</v>
      </c>
      <c r="J171" s="5" t="s">
        <v>106</v>
      </c>
      <c r="K171" s="5" t="s">
        <v>2265</v>
      </c>
      <c r="L171" s="5" t="s">
        <v>1450</v>
      </c>
      <c r="M171" s="5" t="s">
        <v>1859</v>
      </c>
    </row>
    <row r="172" spans="1:13" ht="36" x14ac:dyDescent="0.25">
      <c r="A172" s="5" t="s">
        <v>1453</v>
      </c>
      <c r="B172" s="5" t="s">
        <v>1146</v>
      </c>
      <c r="C172" s="5" t="s">
        <v>1433</v>
      </c>
      <c r="D172" s="5" t="s">
        <v>1454</v>
      </c>
      <c r="E172" s="20" t="s">
        <v>1457</v>
      </c>
      <c r="F172" s="12" t="s">
        <v>115</v>
      </c>
      <c r="G172" s="5" t="s">
        <v>2308</v>
      </c>
      <c r="H172" s="5" t="s">
        <v>106</v>
      </c>
      <c r="I172" s="5" t="s">
        <v>106</v>
      </c>
      <c r="J172" s="5" t="s">
        <v>106</v>
      </c>
      <c r="K172" s="5" t="s">
        <v>2265</v>
      </c>
      <c r="L172" s="5" t="s">
        <v>1459</v>
      </c>
      <c r="M172" s="5" t="s">
        <v>1865</v>
      </c>
    </row>
    <row r="173" spans="1:13" ht="36" x14ac:dyDescent="0.25">
      <c r="A173" s="5" t="s">
        <v>1462</v>
      </c>
      <c r="B173" s="5" t="s">
        <v>1146</v>
      </c>
      <c r="C173" s="5" t="s">
        <v>1433</v>
      </c>
      <c r="D173" s="5" t="s">
        <v>1463</v>
      </c>
      <c r="E173" s="20" t="s">
        <v>1464</v>
      </c>
      <c r="F173" s="12" t="s">
        <v>115</v>
      </c>
      <c r="G173" s="5" t="s">
        <v>2308</v>
      </c>
      <c r="H173" s="5" t="s">
        <v>106</v>
      </c>
      <c r="I173" s="5" t="s">
        <v>106</v>
      </c>
      <c r="J173" s="5" t="s">
        <v>106</v>
      </c>
      <c r="K173" s="5" t="s">
        <v>2265</v>
      </c>
      <c r="L173" s="5" t="s">
        <v>1466</v>
      </c>
      <c r="M173" s="5" t="s">
        <v>1865</v>
      </c>
    </row>
    <row r="174" spans="1:13" ht="36" x14ac:dyDescent="0.25">
      <c r="A174" s="5" t="s">
        <v>1469</v>
      </c>
      <c r="B174" s="5" t="s">
        <v>1146</v>
      </c>
      <c r="C174" s="5" t="s">
        <v>1433</v>
      </c>
      <c r="D174" s="5" t="s">
        <v>1470</v>
      </c>
      <c r="E174" s="20" t="s">
        <v>1471</v>
      </c>
      <c r="F174" s="12" t="s">
        <v>115</v>
      </c>
      <c r="G174" s="5" t="s">
        <v>2308</v>
      </c>
      <c r="H174" s="5" t="s">
        <v>106</v>
      </c>
      <c r="I174" s="5" t="s">
        <v>106</v>
      </c>
      <c r="J174" s="5" t="s">
        <v>106</v>
      </c>
      <c r="K174" s="5" t="s">
        <v>2265</v>
      </c>
      <c r="L174" s="5" t="s">
        <v>1473</v>
      </c>
      <c r="M174" s="5" t="s">
        <v>1865</v>
      </c>
    </row>
    <row r="175" spans="1:13" ht="36" x14ac:dyDescent="0.25">
      <c r="A175" s="5" t="s">
        <v>1476</v>
      </c>
      <c r="B175" s="5" t="s">
        <v>1146</v>
      </c>
      <c r="C175" s="5" t="s">
        <v>1433</v>
      </c>
      <c r="D175" s="5" t="s">
        <v>1477</v>
      </c>
      <c r="E175" s="20" t="s">
        <v>1478</v>
      </c>
      <c r="F175" s="12" t="s">
        <v>115</v>
      </c>
      <c r="G175" s="5" t="s">
        <v>2308</v>
      </c>
      <c r="H175" s="5" t="s">
        <v>106</v>
      </c>
      <c r="I175" s="5" t="s">
        <v>106</v>
      </c>
      <c r="J175" s="5" t="s">
        <v>106</v>
      </c>
      <c r="K175" s="5" t="s">
        <v>2265</v>
      </c>
      <c r="L175" s="5" t="s">
        <v>1480</v>
      </c>
      <c r="M175" s="5" t="s">
        <v>1865</v>
      </c>
    </row>
    <row r="176" spans="1:13" ht="36" x14ac:dyDescent="0.25">
      <c r="A176" s="5" t="s">
        <v>1483</v>
      </c>
      <c r="B176" s="5" t="s">
        <v>1146</v>
      </c>
      <c r="C176" s="5" t="s">
        <v>1433</v>
      </c>
      <c r="D176" s="5" t="s">
        <v>1484</v>
      </c>
      <c r="E176" s="20" t="s">
        <v>1486</v>
      </c>
      <c r="F176" s="12" t="s">
        <v>115</v>
      </c>
      <c r="G176" s="5" t="s">
        <v>2309</v>
      </c>
      <c r="H176" s="5" t="s">
        <v>106</v>
      </c>
      <c r="I176" s="5" t="s">
        <v>106</v>
      </c>
      <c r="J176" s="5" t="s">
        <v>106</v>
      </c>
      <c r="K176" s="5" t="s">
        <v>2265</v>
      </c>
      <c r="L176" s="5" t="s">
        <v>1488</v>
      </c>
      <c r="M176" s="5" t="s">
        <v>1869</v>
      </c>
    </row>
    <row r="177" spans="1:13" ht="36" x14ac:dyDescent="0.25">
      <c r="A177" s="5" t="s">
        <v>1491</v>
      </c>
      <c r="B177" s="5" t="s">
        <v>1146</v>
      </c>
      <c r="C177" s="5" t="s">
        <v>1433</v>
      </c>
      <c r="D177" s="5" t="s">
        <v>1492</v>
      </c>
      <c r="E177" s="20" t="s">
        <v>1494</v>
      </c>
      <c r="F177" s="12" t="s">
        <v>115</v>
      </c>
      <c r="G177" s="5" t="s">
        <v>2310</v>
      </c>
      <c r="H177" s="5" t="s">
        <v>106</v>
      </c>
      <c r="I177" s="5" t="s">
        <v>106</v>
      </c>
      <c r="J177" s="5" t="s">
        <v>106</v>
      </c>
      <c r="K177" s="5" t="s">
        <v>2265</v>
      </c>
      <c r="L177" s="5" t="s">
        <v>1496</v>
      </c>
      <c r="M177" s="5" t="s">
        <v>1873</v>
      </c>
    </row>
    <row r="178" spans="1:13" ht="36" x14ac:dyDescent="0.25">
      <c r="A178" s="5" t="s">
        <v>1499</v>
      </c>
      <c r="B178" s="5" t="s">
        <v>1146</v>
      </c>
      <c r="C178" s="5" t="s">
        <v>1433</v>
      </c>
      <c r="D178" s="5" t="s">
        <v>1500</v>
      </c>
      <c r="E178" s="20" t="s">
        <v>1504</v>
      </c>
      <c r="F178" s="12" t="s">
        <v>115</v>
      </c>
      <c r="G178" s="5" t="s">
        <v>2311</v>
      </c>
      <c r="H178" s="5" t="s">
        <v>106</v>
      </c>
      <c r="I178" s="5" t="s">
        <v>106</v>
      </c>
      <c r="J178" s="5" t="s">
        <v>106</v>
      </c>
      <c r="K178" s="5" t="s">
        <v>2265</v>
      </c>
      <c r="L178" s="5" t="s">
        <v>1506</v>
      </c>
      <c r="M178" s="5" t="s">
        <v>1849</v>
      </c>
    </row>
    <row r="179" spans="1:13" ht="36" x14ac:dyDescent="0.25">
      <c r="A179" s="5" t="s">
        <v>1509</v>
      </c>
      <c r="B179" s="5" t="s">
        <v>1146</v>
      </c>
      <c r="C179" s="5" t="s">
        <v>1510</v>
      </c>
      <c r="D179" s="5" t="s">
        <v>1511</v>
      </c>
      <c r="E179" s="20" t="s">
        <v>1512</v>
      </c>
      <c r="F179" s="12" t="s">
        <v>115</v>
      </c>
      <c r="G179" s="5" t="s">
        <v>2312</v>
      </c>
      <c r="H179" s="5" t="s">
        <v>106</v>
      </c>
      <c r="I179" s="5" t="s">
        <v>106</v>
      </c>
      <c r="J179" s="5" t="s">
        <v>106</v>
      </c>
      <c r="K179" s="5" t="s">
        <v>2265</v>
      </c>
      <c r="L179" s="5" t="s">
        <v>1514</v>
      </c>
      <c r="M179" s="5" t="s">
        <v>1882</v>
      </c>
    </row>
    <row r="180" spans="1:13" ht="36" x14ac:dyDescent="0.25">
      <c r="A180" s="5" t="s">
        <v>1517</v>
      </c>
      <c r="B180" s="5" t="s">
        <v>1146</v>
      </c>
      <c r="C180" s="5" t="s">
        <v>1510</v>
      </c>
      <c r="D180" s="5" t="s">
        <v>1518</v>
      </c>
      <c r="E180" s="20" t="s">
        <v>1519</v>
      </c>
      <c r="F180" s="12" t="s">
        <v>115</v>
      </c>
      <c r="G180" s="5" t="s">
        <v>2313</v>
      </c>
      <c r="H180" s="5" t="s">
        <v>106</v>
      </c>
      <c r="I180" s="5" t="s">
        <v>106</v>
      </c>
      <c r="J180" s="5" t="s">
        <v>106</v>
      </c>
      <c r="K180" s="5" t="s">
        <v>2265</v>
      </c>
      <c r="L180" s="5" t="s">
        <v>1521</v>
      </c>
      <c r="M180" s="5" t="s">
        <v>1884</v>
      </c>
    </row>
    <row r="181" spans="1:13" ht="36" x14ac:dyDescent="0.25">
      <c r="A181" s="5" t="s">
        <v>1524</v>
      </c>
      <c r="B181" s="5" t="s">
        <v>1146</v>
      </c>
      <c r="C181" s="5" t="s">
        <v>1510</v>
      </c>
      <c r="D181" s="5" t="s">
        <v>1525</v>
      </c>
      <c r="E181" s="20" t="s">
        <v>1526</v>
      </c>
      <c r="F181" s="12" t="s">
        <v>115</v>
      </c>
      <c r="G181" s="5" t="s">
        <v>2314</v>
      </c>
      <c r="H181" s="5" t="s">
        <v>106</v>
      </c>
      <c r="I181" s="5" t="s">
        <v>106</v>
      </c>
      <c r="J181" s="5" t="s">
        <v>106</v>
      </c>
      <c r="K181" s="5" t="s">
        <v>2265</v>
      </c>
      <c r="L181" s="5" t="s">
        <v>1528</v>
      </c>
      <c r="M181" s="5" t="s">
        <v>1886</v>
      </c>
    </row>
    <row r="182" spans="1:13" ht="36" x14ac:dyDescent="0.25">
      <c r="A182" s="5" t="s">
        <v>1531</v>
      </c>
      <c r="B182" s="5" t="s">
        <v>1146</v>
      </c>
      <c r="C182" s="5" t="s">
        <v>1510</v>
      </c>
      <c r="D182" s="5" t="s">
        <v>1532</v>
      </c>
      <c r="E182" s="20" t="s">
        <v>1533</v>
      </c>
      <c r="F182" s="12" t="s">
        <v>115</v>
      </c>
      <c r="G182" s="5" t="s">
        <v>2315</v>
      </c>
      <c r="H182" s="5" t="s">
        <v>106</v>
      </c>
      <c r="I182" s="5" t="s">
        <v>106</v>
      </c>
      <c r="J182" s="5" t="s">
        <v>106</v>
      </c>
      <c r="K182" s="5" t="s">
        <v>2265</v>
      </c>
      <c r="L182" s="5" t="s">
        <v>1535</v>
      </c>
      <c r="M182" s="5" t="s">
        <v>1888</v>
      </c>
    </row>
    <row r="183" spans="1:13" ht="36" x14ac:dyDescent="0.25">
      <c r="A183" s="5" t="s">
        <v>1538</v>
      </c>
      <c r="B183" s="5" t="s">
        <v>1146</v>
      </c>
      <c r="C183" s="5" t="s">
        <v>1510</v>
      </c>
      <c r="D183" s="5" t="s">
        <v>1539</v>
      </c>
      <c r="E183" s="20" t="s">
        <v>1540</v>
      </c>
      <c r="F183" s="12" t="s">
        <v>115</v>
      </c>
      <c r="G183" s="5" t="s">
        <v>2316</v>
      </c>
      <c r="H183" s="5" t="s">
        <v>106</v>
      </c>
      <c r="I183" s="5" t="s">
        <v>106</v>
      </c>
      <c r="J183" s="5" t="s">
        <v>106</v>
      </c>
      <c r="K183" s="5" t="s">
        <v>2265</v>
      </c>
      <c r="L183" s="5" t="s">
        <v>1542</v>
      </c>
      <c r="M183" s="5" t="s">
        <v>1891</v>
      </c>
    </row>
    <row r="184" spans="1:13" ht="36" x14ac:dyDescent="0.25">
      <c r="A184" s="5" t="s">
        <v>1545</v>
      </c>
      <c r="B184" s="5" t="s">
        <v>1146</v>
      </c>
      <c r="C184" s="5" t="s">
        <v>1510</v>
      </c>
      <c r="D184" s="5" t="s">
        <v>1546</v>
      </c>
      <c r="E184" s="20" t="s">
        <v>1547</v>
      </c>
      <c r="F184" s="12" t="s">
        <v>115</v>
      </c>
      <c r="G184" s="5" t="s">
        <v>2317</v>
      </c>
      <c r="H184" s="5" t="s">
        <v>106</v>
      </c>
      <c r="I184" s="5" t="s">
        <v>106</v>
      </c>
      <c r="J184" s="5" t="s">
        <v>106</v>
      </c>
      <c r="K184" s="5" t="s">
        <v>2265</v>
      </c>
      <c r="L184" s="5" t="s">
        <v>1549</v>
      </c>
      <c r="M184" s="5" t="s">
        <v>1894</v>
      </c>
    </row>
    <row r="185" spans="1:13" ht="36" x14ac:dyDescent="0.25">
      <c r="A185" s="5" t="s">
        <v>1552</v>
      </c>
      <c r="B185" s="5" t="s">
        <v>1146</v>
      </c>
      <c r="C185" s="5" t="s">
        <v>1510</v>
      </c>
      <c r="D185" s="5" t="s">
        <v>1553</v>
      </c>
      <c r="E185" s="20" t="s">
        <v>1554</v>
      </c>
      <c r="F185" s="12" t="s">
        <v>115</v>
      </c>
      <c r="G185" s="5" t="s">
        <v>2318</v>
      </c>
      <c r="H185" s="5" t="s">
        <v>106</v>
      </c>
      <c r="I185" s="5" t="s">
        <v>106</v>
      </c>
      <c r="J185" s="5" t="s">
        <v>106</v>
      </c>
      <c r="K185" s="5" t="s">
        <v>2265</v>
      </c>
      <c r="L185" s="5" t="s">
        <v>1556</v>
      </c>
      <c r="M185" s="5" t="s">
        <v>1843</v>
      </c>
    </row>
    <row r="186" spans="1:13" ht="36" x14ac:dyDescent="0.25">
      <c r="A186" s="5" t="s">
        <v>1559</v>
      </c>
      <c r="B186" s="5" t="s">
        <v>1146</v>
      </c>
      <c r="C186" s="5" t="s">
        <v>1510</v>
      </c>
      <c r="D186" s="5" t="s">
        <v>1560</v>
      </c>
      <c r="E186" s="5" t="s">
        <v>106</v>
      </c>
      <c r="F186" s="14" t="s">
        <v>123</v>
      </c>
      <c r="G186" s="5" t="s">
        <v>106</v>
      </c>
      <c r="H186" s="5" t="s">
        <v>106</v>
      </c>
      <c r="I186" s="5" t="s">
        <v>106</v>
      </c>
      <c r="J186" s="5" t="s">
        <v>106</v>
      </c>
      <c r="K186" s="5" t="s">
        <v>2199</v>
      </c>
      <c r="L186" s="5" t="s">
        <v>1563</v>
      </c>
      <c r="M186" s="5" t="s">
        <v>106</v>
      </c>
    </row>
    <row r="187" spans="1:13" ht="36" x14ac:dyDescent="0.25">
      <c r="A187" s="5" t="s">
        <v>1564</v>
      </c>
      <c r="B187" s="5" t="s">
        <v>1146</v>
      </c>
      <c r="C187" s="5" t="s">
        <v>1565</v>
      </c>
      <c r="D187" s="5" t="s">
        <v>1566</v>
      </c>
      <c r="E187" s="20" t="s">
        <v>1569</v>
      </c>
      <c r="F187" s="12" t="s">
        <v>115</v>
      </c>
      <c r="G187" s="5" t="s">
        <v>2319</v>
      </c>
      <c r="H187" s="5" t="s">
        <v>106</v>
      </c>
      <c r="I187" s="5" t="s">
        <v>106</v>
      </c>
      <c r="J187" s="5" t="s">
        <v>106</v>
      </c>
      <c r="K187" s="5" t="s">
        <v>2265</v>
      </c>
      <c r="L187" s="5" t="s">
        <v>1573</v>
      </c>
      <c r="M187" s="5" t="s">
        <v>1913</v>
      </c>
    </row>
    <row r="188" spans="1:13" ht="36" x14ac:dyDescent="0.25">
      <c r="A188" s="5" t="s">
        <v>1576</v>
      </c>
      <c r="B188" s="5" t="s">
        <v>1146</v>
      </c>
      <c r="C188" s="5" t="s">
        <v>1565</v>
      </c>
      <c r="D188" s="5" t="s">
        <v>1577</v>
      </c>
      <c r="E188" s="20" t="s">
        <v>1578</v>
      </c>
      <c r="F188" s="12" t="s">
        <v>115</v>
      </c>
      <c r="G188" s="5" t="s">
        <v>2320</v>
      </c>
      <c r="H188" s="5" t="s">
        <v>106</v>
      </c>
      <c r="I188" s="5" t="s">
        <v>106</v>
      </c>
      <c r="J188" s="5" t="s">
        <v>106</v>
      </c>
      <c r="K188" s="5" t="s">
        <v>2265</v>
      </c>
      <c r="L188" s="5" t="s">
        <v>1580</v>
      </c>
      <c r="M188" s="5" t="s">
        <v>1916</v>
      </c>
    </row>
    <row r="189" spans="1:13" ht="36" x14ac:dyDescent="0.25">
      <c r="A189" s="5" t="s">
        <v>1583</v>
      </c>
      <c r="B189" s="5" t="s">
        <v>1146</v>
      </c>
      <c r="C189" s="5" t="s">
        <v>1565</v>
      </c>
      <c r="D189" s="5" t="s">
        <v>1584</v>
      </c>
      <c r="E189" s="20" t="s">
        <v>1585</v>
      </c>
      <c r="F189" s="12" t="s">
        <v>115</v>
      </c>
      <c r="G189" s="5" t="s">
        <v>2321</v>
      </c>
      <c r="H189" s="5" t="s">
        <v>106</v>
      </c>
      <c r="I189" s="5" t="s">
        <v>106</v>
      </c>
      <c r="J189" s="5" t="s">
        <v>106</v>
      </c>
      <c r="K189" s="5" t="s">
        <v>2265</v>
      </c>
      <c r="L189" s="5" t="s">
        <v>1587</v>
      </c>
      <c r="M189" s="5" t="s">
        <v>1907</v>
      </c>
    </row>
    <row r="190" spans="1:13" ht="36" x14ac:dyDescent="0.25">
      <c r="A190" s="5" t="s">
        <v>1590</v>
      </c>
      <c r="B190" s="5" t="s">
        <v>1146</v>
      </c>
      <c r="C190" s="5" t="s">
        <v>1565</v>
      </c>
      <c r="D190" s="5" t="s">
        <v>1591</v>
      </c>
      <c r="E190" s="5" t="s">
        <v>106</v>
      </c>
      <c r="F190" s="14" t="s">
        <v>123</v>
      </c>
      <c r="G190" s="5" t="s">
        <v>106</v>
      </c>
      <c r="H190" s="5" t="s">
        <v>106</v>
      </c>
      <c r="I190" s="5" t="s">
        <v>106</v>
      </c>
      <c r="J190" s="5" t="s">
        <v>106</v>
      </c>
      <c r="K190" s="5" t="s">
        <v>2199</v>
      </c>
      <c r="L190" s="5" t="s">
        <v>1593</v>
      </c>
      <c r="M190" s="5" t="s">
        <v>106</v>
      </c>
    </row>
    <row r="191" spans="1:13" ht="36" x14ac:dyDescent="0.25">
      <c r="A191" s="5" t="s">
        <v>1594</v>
      </c>
      <c r="B191" s="5" t="s">
        <v>1146</v>
      </c>
      <c r="C191" s="5" t="s">
        <v>1595</v>
      </c>
      <c r="D191" s="5" t="s">
        <v>1596</v>
      </c>
      <c r="E191" s="20" t="s">
        <v>1597</v>
      </c>
      <c r="F191" s="12" t="s">
        <v>115</v>
      </c>
      <c r="G191" s="5" t="s">
        <v>2322</v>
      </c>
      <c r="H191" s="5" t="s">
        <v>106</v>
      </c>
      <c r="I191" s="5" t="s">
        <v>106</v>
      </c>
      <c r="J191" s="5" t="s">
        <v>106</v>
      </c>
      <c r="K191" s="5" t="s">
        <v>2265</v>
      </c>
      <c r="L191" s="5" t="s">
        <v>1601</v>
      </c>
      <c r="M191" s="5" t="s">
        <v>1920</v>
      </c>
    </row>
    <row r="192" spans="1:13" ht="36" x14ac:dyDescent="0.25">
      <c r="A192" s="5" t="s">
        <v>1604</v>
      </c>
      <c r="B192" s="5" t="s">
        <v>1146</v>
      </c>
      <c r="C192" s="5" t="s">
        <v>1595</v>
      </c>
      <c r="D192" s="5" t="s">
        <v>1605</v>
      </c>
      <c r="E192" s="5" t="s">
        <v>106</v>
      </c>
      <c r="F192" s="14" t="s">
        <v>123</v>
      </c>
      <c r="G192" s="5" t="s">
        <v>106</v>
      </c>
      <c r="H192" s="5" t="s">
        <v>106</v>
      </c>
      <c r="I192" s="5" t="s">
        <v>106</v>
      </c>
      <c r="J192" s="5" t="s">
        <v>106</v>
      </c>
      <c r="K192" s="5" t="s">
        <v>2199</v>
      </c>
      <c r="L192" s="5" t="s">
        <v>1608</v>
      </c>
      <c r="M192" s="5" t="s">
        <v>106</v>
      </c>
    </row>
  </sheetData>
  <autoFilter ref="A1:M192" xr:uid="{00000000-0009-0000-0000-000003000000}"/>
  <pageMargins left="0.75" right="0.75" top="1" bottom="1" header="0.5" footer="0.5"/>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1"/>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24" customWidth="1"/>
    <col min="3" max="3" width="34" customWidth="1"/>
    <col min="4" max="4" width="60" customWidth="1"/>
    <col min="5" max="5" width="30" customWidth="1"/>
    <col min="6" max="6" width="60" customWidth="1"/>
    <col min="7" max="7" width="48" customWidth="1"/>
    <col min="8" max="8" width="12" customWidth="1"/>
  </cols>
  <sheetData>
    <row r="1" spans="1:8" ht="30" customHeight="1" x14ac:dyDescent="0.25">
      <c r="A1" s="11" t="s">
        <v>2323</v>
      </c>
      <c r="B1" s="11" t="s">
        <v>2324</v>
      </c>
      <c r="C1" s="11" t="s">
        <v>2325</v>
      </c>
      <c r="D1" s="11" t="s">
        <v>2326</v>
      </c>
      <c r="E1" s="11" t="s">
        <v>2327</v>
      </c>
      <c r="F1" s="11" t="s">
        <v>2328</v>
      </c>
      <c r="G1" s="11" t="s">
        <v>2329</v>
      </c>
      <c r="H1" s="11" t="s">
        <v>2330</v>
      </c>
    </row>
    <row r="2" spans="1:8" ht="36" x14ac:dyDescent="0.25">
      <c r="A2" s="5" t="s">
        <v>2331</v>
      </c>
      <c r="B2" s="5" t="s">
        <v>2332</v>
      </c>
      <c r="C2" s="5" t="s">
        <v>231</v>
      </c>
      <c r="D2" s="5" t="s">
        <v>2333</v>
      </c>
      <c r="E2" s="5" t="s">
        <v>2334</v>
      </c>
      <c r="F2" s="5" t="s">
        <v>2335</v>
      </c>
      <c r="G2" s="5" t="s">
        <v>2336</v>
      </c>
      <c r="H2" s="13" t="s">
        <v>2337</v>
      </c>
    </row>
    <row r="3" spans="1:8" ht="24" x14ac:dyDescent="0.25">
      <c r="A3" s="5" t="s">
        <v>2338</v>
      </c>
      <c r="B3" s="5" t="s">
        <v>2332</v>
      </c>
      <c r="C3" s="5" t="s">
        <v>2339</v>
      </c>
      <c r="D3" s="5" t="s">
        <v>2340</v>
      </c>
      <c r="E3" s="5" t="s">
        <v>2341</v>
      </c>
      <c r="F3" s="5" t="s">
        <v>1098</v>
      </c>
      <c r="G3" s="5" t="s">
        <v>2342</v>
      </c>
      <c r="H3" s="13" t="s">
        <v>2337</v>
      </c>
    </row>
    <row r="4" spans="1:8" ht="24" x14ac:dyDescent="0.25">
      <c r="A4" s="5" t="s">
        <v>2343</v>
      </c>
      <c r="B4" s="5" t="s">
        <v>2332</v>
      </c>
      <c r="C4" s="5" t="s">
        <v>1005</v>
      </c>
      <c r="D4" s="5" t="s">
        <v>2344</v>
      </c>
      <c r="E4" s="5" t="s">
        <v>2345</v>
      </c>
      <c r="F4" s="5" t="s">
        <v>2346</v>
      </c>
      <c r="G4" s="5" t="s">
        <v>2347</v>
      </c>
      <c r="H4" s="13" t="s">
        <v>2337</v>
      </c>
    </row>
    <row r="5" spans="1:8" ht="24" x14ac:dyDescent="0.25">
      <c r="A5" s="5" t="s">
        <v>2348</v>
      </c>
      <c r="B5" s="5" t="s">
        <v>2332</v>
      </c>
      <c r="C5" s="5" t="s">
        <v>2349</v>
      </c>
      <c r="D5" s="5" t="s">
        <v>2350</v>
      </c>
      <c r="E5" s="5" t="s">
        <v>2351</v>
      </c>
      <c r="F5" s="5" t="s">
        <v>1818</v>
      </c>
      <c r="G5" s="5" t="s">
        <v>2352</v>
      </c>
      <c r="H5" s="15" t="s">
        <v>2353</v>
      </c>
    </row>
    <row r="6" spans="1:8" ht="24" x14ac:dyDescent="0.25">
      <c r="A6" s="5" t="s">
        <v>2354</v>
      </c>
      <c r="B6" s="5" t="s">
        <v>2332</v>
      </c>
      <c r="C6" s="5" t="s">
        <v>2355</v>
      </c>
      <c r="D6" s="5" t="s">
        <v>2356</v>
      </c>
      <c r="E6" s="5" t="s">
        <v>2357</v>
      </c>
      <c r="F6" s="5" t="s">
        <v>1117</v>
      </c>
      <c r="G6" s="5" t="s">
        <v>2358</v>
      </c>
      <c r="H6" s="15" t="s">
        <v>2353</v>
      </c>
    </row>
    <row r="7" spans="1:8" ht="24" x14ac:dyDescent="0.25">
      <c r="A7" s="5" t="s">
        <v>2359</v>
      </c>
      <c r="B7" s="5" t="s">
        <v>2332</v>
      </c>
      <c r="C7" s="5" t="s">
        <v>2360</v>
      </c>
      <c r="D7" s="5" t="s">
        <v>2361</v>
      </c>
      <c r="E7" s="5" t="s">
        <v>2362</v>
      </c>
      <c r="F7" s="5" t="s">
        <v>2363</v>
      </c>
      <c r="G7" s="5" t="s">
        <v>2364</v>
      </c>
      <c r="H7" s="15" t="s">
        <v>2353</v>
      </c>
    </row>
    <row r="8" spans="1:8" ht="48" x14ac:dyDescent="0.25">
      <c r="A8" s="5" t="s">
        <v>2365</v>
      </c>
      <c r="B8" s="5" t="s">
        <v>2332</v>
      </c>
      <c r="C8" s="5" t="s">
        <v>2366</v>
      </c>
      <c r="D8" s="5" t="s">
        <v>2367</v>
      </c>
      <c r="E8" s="5" t="s">
        <v>2368</v>
      </c>
      <c r="F8" s="5" t="s">
        <v>2369</v>
      </c>
      <c r="G8" s="5" t="s">
        <v>2370</v>
      </c>
      <c r="H8" s="15" t="s">
        <v>2353</v>
      </c>
    </row>
    <row r="9" spans="1:8" ht="36" x14ac:dyDescent="0.25">
      <c r="A9" s="5" t="s">
        <v>2371</v>
      </c>
      <c r="B9" s="5" t="s">
        <v>2332</v>
      </c>
      <c r="C9" s="5" t="s">
        <v>2372</v>
      </c>
      <c r="D9" s="5" t="s">
        <v>2373</v>
      </c>
      <c r="E9" s="5" t="s">
        <v>2374</v>
      </c>
      <c r="F9" s="5" t="s">
        <v>2375</v>
      </c>
      <c r="G9" s="5" t="s">
        <v>2376</v>
      </c>
      <c r="H9" s="16" t="s">
        <v>2377</v>
      </c>
    </row>
    <row r="10" spans="1:8" ht="24" x14ac:dyDescent="0.25">
      <c r="A10" s="5" t="s">
        <v>2378</v>
      </c>
      <c r="B10" s="5" t="s">
        <v>2332</v>
      </c>
      <c r="C10" s="5" t="s">
        <v>2379</v>
      </c>
      <c r="D10" s="5" t="s">
        <v>2380</v>
      </c>
      <c r="E10" s="5" t="s">
        <v>2381</v>
      </c>
      <c r="F10" s="5" t="s">
        <v>2382</v>
      </c>
      <c r="G10" s="5" t="s">
        <v>2383</v>
      </c>
      <c r="H10" s="16" t="s">
        <v>2377</v>
      </c>
    </row>
    <row r="11" spans="1:8" ht="24" x14ac:dyDescent="0.25">
      <c r="A11" s="5" t="s">
        <v>2384</v>
      </c>
      <c r="B11" s="5" t="s">
        <v>2332</v>
      </c>
      <c r="C11" s="5" t="s">
        <v>2385</v>
      </c>
      <c r="D11" s="5" t="s">
        <v>2386</v>
      </c>
      <c r="E11" s="5" t="s">
        <v>2387</v>
      </c>
      <c r="F11" s="5" t="s">
        <v>1727</v>
      </c>
      <c r="G11" s="5" t="s">
        <v>2388</v>
      </c>
      <c r="H11" s="16" t="s">
        <v>2377</v>
      </c>
    </row>
    <row r="12" spans="1:8" ht="36" x14ac:dyDescent="0.25">
      <c r="A12" s="5" t="s">
        <v>2389</v>
      </c>
      <c r="B12" s="5" t="s">
        <v>2332</v>
      </c>
      <c r="C12" s="5" t="s">
        <v>2390</v>
      </c>
      <c r="D12" s="5" t="s">
        <v>2391</v>
      </c>
      <c r="E12" s="5" t="s">
        <v>2392</v>
      </c>
      <c r="F12" s="5" t="s">
        <v>2393</v>
      </c>
      <c r="G12" s="5" t="s">
        <v>2394</v>
      </c>
      <c r="H12" s="16" t="s">
        <v>2377</v>
      </c>
    </row>
    <row r="13" spans="1:8" ht="36" x14ac:dyDescent="0.25">
      <c r="A13" s="5" t="s">
        <v>2395</v>
      </c>
      <c r="B13" s="5" t="s">
        <v>2332</v>
      </c>
      <c r="C13" s="5" t="s">
        <v>2396</v>
      </c>
      <c r="D13" s="5" t="s">
        <v>2397</v>
      </c>
      <c r="E13" s="5" t="s">
        <v>2398</v>
      </c>
      <c r="F13" s="5" t="s">
        <v>2399</v>
      </c>
      <c r="G13" s="5" t="s">
        <v>2400</v>
      </c>
      <c r="H13" s="15" t="s">
        <v>2353</v>
      </c>
    </row>
    <row r="14" spans="1:8" ht="24" x14ac:dyDescent="0.25">
      <c r="A14" s="5" t="s">
        <v>2401</v>
      </c>
      <c r="B14" s="5" t="s">
        <v>2332</v>
      </c>
      <c r="C14" s="5" t="s">
        <v>2402</v>
      </c>
      <c r="D14" s="5" t="s">
        <v>2403</v>
      </c>
      <c r="E14" s="5" t="s">
        <v>2404</v>
      </c>
      <c r="F14" s="5" t="s">
        <v>2405</v>
      </c>
      <c r="G14" s="5" t="s">
        <v>2406</v>
      </c>
      <c r="H14" s="16" t="s">
        <v>2377</v>
      </c>
    </row>
    <row r="15" spans="1:8" ht="24" x14ac:dyDescent="0.25">
      <c r="A15" s="5" t="s">
        <v>2407</v>
      </c>
      <c r="B15" s="5" t="s">
        <v>2408</v>
      </c>
      <c r="C15" s="5" t="s">
        <v>2409</v>
      </c>
      <c r="D15" s="5" t="s">
        <v>2410</v>
      </c>
      <c r="E15" s="5" t="s">
        <v>2411</v>
      </c>
      <c r="F15" s="5" t="s">
        <v>2412</v>
      </c>
      <c r="G15" s="5" t="s">
        <v>2413</v>
      </c>
      <c r="H15" s="14" t="s">
        <v>2414</v>
      </c>
    </row>
    <row r="16" spans="1:8" ht="36" x14ac:dyDescent="0.25">
      <c r="A16" s="5" t="s">
        <v>2415</v>
      </c>
      <c r="B16" s="5" t="s">
        <v>2408</v>
      </c>
      <c r="C16" s="5" t="s">
        <v>2416</v>
      </c>
      <c r="D16" s="5" t="s">
        <v>2417</v>
      </c>
      <c r="E16" s="5" t="s">
        <v>2418</v>
      </c>
      <c r="F16" s="5" t="s">
        <v>2419</v>
      </c>
      <c r="G16" s="5" t="s">
        <v>2420</v>
      </c>
      <c r="H16" s="15" t="s">
        <v>2353</v>
      </c>
    </row>
    <row r="17" spans="1:8" ht="36" x14ac:dyDescent="0.25">
      <c r="A17" s="5" t="s">
        <v>2421</v>
      </c>
      <c r="B17" s="5" t="s">
        <v>2408</v>
      </c>
      <c r="C17" s="5" t="s">
        <v>2422</v>
      </c>
      <c r="D17" s="5" t="s">
        <v>2423</v>
      </c>
      <c r="E17" s="5" t="s">
        <v>2424</v>
      </c>
      <c r="F17" s="5" t="s">
        <v>2425</v>
      </c>
      <c r="G17" s="5" t="s">
        <v>2426</v>
      </c>
      <c r="H17" s="16" t="s">
        <v>2377</v>
      </c>
    </row>
    <row r="18" spans="1:8" ht="36" x14ac:dyDescent="0.25">
      <c r="A18" s="5" t="s">
        <v>2427</v>
      </c>
      <c r="B18" s="5" t="s">
        <v>2408</v>
      </c>
      <c r="C18" s="5" t="s">
        <v>2428</v>
      </c>
      <c r="D18" s="5" t="s">
        <v>2429</v>
      </c>
      <c r="E18" s="5" t="s">
        <v>2430</v>
      </c>
      <c r="F18" s="5" t="s">
        <v>2431</v>
      </c>
      <c r="G18" s="5" t="s">
        <v>2432</v>
      </c>
      <c r="H18" s="14" t="s">
        <v>2414</v>
      </c>
    </row>
    <row r="19" spans="1:8" ht="36" x14ac:dyDescent="0.25">
      <c r="A19" s="5" t="s">
        <v>2433</v>
      </c>
      <c r="B19" s="5" t="s">
        <v>2408</v>
      </c>
      <c r="C19" s="5" t="s">
        <v>2434</v>
      </c>
      <c r="D19" s="5" t="s">
        <v>2435</v>
      </c>
      <c r="E19" s="5" t="s">
        <v>2436</v>
      </c>
      <c r="F19" s="5" t="s">
        <v>2114</v>
      </c>
      <c r="G19" s="5" t="s">
        <v>2437</v>
      </c>
      <c r="H19" s="14" t="s">
        <v>2414</v>
      </c>
    </row>
    <row r="20" spans="1:8" ht="24" x14ac:dyDescent="0.25">
      <c r="A20" s="5" t="s">
        <v>2438</v>
      </c>
      <c r="B20" s="5" t="s">
        <v>2408</v>
      </c>
      <c r="C20" s="5" t="s">
        <v>2439</v>
      </c>
      <c r="D20" s="5" t="s">
        <v>2440</v>
      </c>
      <c r="E20" s="5" t="s">
        <v>1900</v>
      </c>
      <c r="F20" s="5" t="s">
        <v>1907</v>
      </c>
      <c r="G20" s="5" t="s">
        <v>2441</v>
      </c>
      <c r="H20" s="16" t="s">
        <v>2377</v>
      </c>
    </row>
    <row r="21" spans="1:8" ht="24" x14ac:dyDescent="0.25">
      <c r="A21" s="5" t="s">
        <v>2442</v>
      </c>
      <c r="B21" s="5" t="s">
        <v>2443</v>
      </c>
      <c r="C21" s="5" t="s">
        <v>2444</v>
      </c>
      <c r="D21" s="5" t="s">
        <v>2445</v>
      </c>
      <c r="E21" s="5" t="s">
        <v>2446</v>
      </c>
      <c r="F21" s="5" t="s">
        <v>1779</v>
      </c>
      <c r="G21" s="5" t="s">
        <v>2447</v>
      </c>
      <c r="H21" s="16" t="s">
        <v>2377</v>
      </c>
    </row>
    <row r="22" spans="1:8" ht="24" x14ac:dyDescent="0.25">
      <c r="A22" s="5" t="s">
        <v>2448</v>
      </c>
      <c r="B22" s="5" t="s">
        <v>2443</v>
      </c>
      <c r="C22" s="5" t="s">
        <v>2449</v>
      </c>
      <c r="D22" s="5" t="s">
        <v>2445</v>
      </c>
      <c r="E22" s="5" t="s">
        <v>2450</v>
      </c>
      <c r="F22" s="5" t="s">
        <v>1779</v>
      </c>
      <c r="G22" s="5" t="s">
        <v>2447</v>
      </c>
      <c r="H22" s="16" t="s">
        <v>2377</v>
      </c>
    </row>
    <row r="23" spans="1:8" ht="24" x14ac:dyDescent="0.25">
      <c r="A23" s="5" t="s">
        <v>2451</v>
      </c>
      <c r="B23" s="5" t="s">
        <v>2443</v>
      </c>
      <c r="C23" s="5" t="s">
        <v>2452</v>
      </c>
      <c r="D23" s="5" t="s">
        <v>2445</v>
      </c>
      <c r="E23" s="5" t="s">
        <v>2453</v>
      </c>
      <c r="F23" s="5" t="s">
        <v>1779</v>
      </c>
      <c r="G23" s="5" t="s">
        <v>2447</v>
      </c>
      <c r="H23" s="16" t="s">
        <v>2377</v>
      </c>
    </row>
    <row r="24" spans="1:8" ht="36" x14ac:dyDescent="0.25">
      <c r="A24" s="5" t="s">
        <v>2454</v>
      </c>
      <c r="B24" s="5" t="s">
        <v>2443</v>
      </c>
      <c r="C24" s="5" t="s">
        <v>2455</v>
      </c>
      <c r="D24" s="5" t="s">
        <v>2445</v>
      </c>
      <c r="E24" s="5" t="s">
        <v>2456</v>
      </c>
      <c r="F24" s="5" t="s">
        <v>1779</v>
      </c>
      <c r="G24" s="5" t="s">
        <v>2447</v>
      </c>
      <c r="H24" s="16" t="s">
        <v>2377</v>
      </c>
    </row>
    <row r="25" spans="1:8" ht="24" x14ac:dyDescent="0.25">
      <c r="A25" s="5" t="s">
        <v>2457</v>
      </c>
      <c r="B25" s="5" t="s">
        <v>2443</v>
      </c>
      <c r="C25" s="5" t="s">
        <v>2458</v>
      </c>
      <c r="D25" s="5" t="s">
        <v>2445</v>
      </c>
      <c r="E25" s="5" t="s">
        <v>2459</v>
      </c>
      <c r="F25" s="5" t="s">
        <v>1779</v>
      </c>
      <c r="G25" s="5" t="s">
        <v>2447</v>
      </c>
      <c r="H25" s="16" t="s">
        <v>2377</v>
      </c>
    </row>
    <row r="26" spans="1:8" ht="24" x14ac:dyDescent="0.25">
      <c r="A26" s="5" t="s">
        <v>2460</v>
      </c>
      <c r="B26" s="5" t="s">
        <v>2443</v>
      </c>
      <c r="C26" s="5" t="s">
        <v>2461</v>
      </c>
      <c r="D26" s="5" t="s">
        <v>2445</v>
      </c>
      <c r="E26" s="5" t="s">
        <v>2462</v>
      </c>
      <c r="F26" s="5" t="s">
        <v>1779</v>
      </c>
      <c r="G26" s="5" t="s">
        <v>2447</v>
      </c>
      <c r="H26" s="16" t="s">
        <v>2377</v>
      </c>
    </row>
    <row r="27" spans="1:8" ht="24" x14ac:dyDescent="0.25">
      <c r="A27" s="5" t="s">
        <v>2463</v>
      </c>
      <c r="B27" s="5" t="s">
        <v>2443</v>
      </c>
      <c r="C27" s="5" t="s">
        <v>2464</v>
      </c>
      <c r="D27" s="5" t="s">
        <v>2445</v>
      </c>
      <c r="E27" s="5" t="s">
        <v>2465</v>
      </c>
      <c r="F27" s="5" t="s">
        <v>1779</v>
      </c>
      <c r="G27" s="5" t="s">
        <v>2447</v>
      </c>
      <c r="H27" s="16" t="s">
        <v>2377</v>
      </c>
    </row>
    <row r="28" spans="1:8" ht="24" x14ac:dyDescent="0.25">
      <c r="A28" s="5" t="s">
        <v>2466</v>
      </c>
      <c r="B28" s="5" t="s">
        <v>2443</v>
      </c>
      <c r="C28" s="5" t="s">
        <v>2467</v>
      </c>
      <c r="D28" s="5" t="s">
        <v>2445</v>
      </c>
      <c r="E28" s="5" t="s">
        <v>2468</v>
      </c>
      <c r="F28" s="5" t="s">
        <v>1779</v>
      </c>
      <c r="G28" s="5" t="s">
        <v>2447</v>
      </c>
      <c r="H28" s="16" t="s">
        <v>2377</v>
      </c>
    </row>
    <row r="29" spans="1:8" ht="24" x14ac:dyDescent="0.25">
      <c r="A29" s="5" t="s">
        <v>2469</v>
      </c>
      <c r="B29" s="5" t="s">
        <v>2443</v>
      </c>
      <c r="C29" s="5" t="s">
        <v>2470</v>
      </c>
      <c r="D29" s="5" t="s">
        <v>2445</v>
      </c>
      <c r="E29" s="5" t="s">
        <v>2471</v>
      </c>
      <c r="F29" s="5" t="s">
        <v>1779</v>
      </c>
      <c r="G29" s="5" t="s">
        <v>2447</v>
      </c>
      <c r="H29" s="16" t="s">
        <v>2377</v>
      </c>
    </row>
    <row r="30" spans="1:8" ht="48" x14ac:dyDescent="0.25">
      <c r="A30" s="5" t="s">
        <v>2472</v>
      </c>
      <c r="B30" s="5" t="s">
        <v>2443</v>
      </c>
      <c r="C30" s="5" t="s">
        <v>2473</v>
      </c>
      <c r="D30" s="5" t="s">
        <v>2445</v>
      </c>
      <c r="E30" s="5" t="s">
        <v>2474</v>
      </c>
      <c r="F30" s="5" t="s">
        <v>2475</v>
      </c>
      <c r="G30" s="5" t="s">
        <v>2447</v>
      </c>
      <c r="H30" s="16" t="s">
        <v>2377</v>
      </c>
    </row>
    <row r="31" spans="1:8" ht="24" x14ac:dyDescent="0.25">
      <c r="A31" s="5" t="s">
        <v>2476</v>
      </c>
      <c r="B31" s="5" t="s">
        <v>2443</v>
      </c>
      <c r="C31" s="5" t="s">
        <v>2477</v>
      </c>
      <c r="D31" s="5" t="s">
        <v>2445</v>
      </c>
      <c r="E31" s="5" t="s">
        <v>2478</v>
      </c>
      <c r="F31" s="5" t="s">
        <v>1779</v>
      </c>
      <c r="G31" s="5" t="s">
        <v>2447</v>
      </c>
      <c r="H31" s="16" t="s">
        <v>2377</v>
      </c>
    </row>
    <row r="32" spans="1:8" ht="24" x14ac:dyDescent="0.25">
      <c r="A32" s="5" t="s">
        <v>2479</v>
      </c>
      <c r="B32" s="5" t="s">
        <v>2443</v>
      </c>
      <c r="C32" s="5" t="s">
        <v>2480</v>
      </c>
      <c r="D32" s="5" t="s">
        <v>2445</v>
      </c>
      <c r="E32" s="5" t="s">
        <v>2481</v>
      </c>
      <c r="F32" s="5" t="s">
        <v>1779</v>
      </c>
      <c r="G32" s="5" t="s">
        <v>2447</v>
      </c>
      <c r="H32" s="16" t="s">
        <v>2377</v>
      </c>
    </row>
    <row r="33" spans="1:8" ht="24" x14ac:dyDescent="0.25">
      <c r="A33" s="5" t="s">
        <v>2482</v>
      </c>
      <c r="B33" s="5" t="s">
        <v>2443</v>
      </c>
      <c r="C33" s="5" t="s">
        <v>2483</v>
      </c>
      <c r="D33" s="5" t="s">
        <v>2445</v>
      </c>
      <c r="E33" s="5" t="s">
        <v>2484</v>
      </c>
      <c r="F33" s="5" t="s">
        <v>1779</v>
      </c>
      <c r="G33" s="5" t="s">
        <v>2447</v>
      </c>
      <c r="H33" s="16" t="s">
        <v>2377</v>
      </c>
    </row>
    <row r="34" spans="1:8" ht="24" x14ac:dyDescent="0.25">
      <c r="A34" s="5" t="s">
        <v>2485</v>
      </c>
      <c r="B34" s="5" t="s">
        <v>2443</v>
      </c>
      <c r="C34" s="5" t="s">
        <v>2486</v>
      </c>
      <c r="D34" s="5" t="s">
        <v>2445</v>
      </c>
      <c r="E34" s="5" t="s">
        <v>2487</v>
      </c>
      <c r="F34" s="5" t="s">
        <v>1779</v>
      </c>
      <c r="G34" s="5" t="s">
        <v>2447</v>
      </c>
      <c r="H34" s="16" t="s">
        <v>2377</v>
      </c>
    </row>
    <row r="35" spans="1:8" ht="36" x14ac:dyDescent="0.25">
      <c r="A35" s="5" t="s">
        <v>2488</v>
      </c>
      <c r="B35" s="5" t="s">
        <v>2443</v>
      </c>
      <c r="C35" s="5" t="s">
        <v>2489</v>
      </c>
      <c r="D35" s="5" t="s">
        <v>2445</v>
      </c>
      <c r="E35" s="5" t="s">
        <v>2490</v>
      </c>
      <c r="F35" s="5" t="s">
        <v>2491</v>
      </c>
      <c r="G35" s="5" t="s">
        <v>2447</v>
      </c>
      <c r="H35" s="16" t="s">
        <v>2377</v>
      </c>
    </row>
    <row r="36" spans="1:8" ht="24" x14ac:dyDescent="0.25">
      <c r="A36" s="5" t="s">
        <v>2492</v>
      </c>
      <c r="B36" s="5" t="s">
        <v>2443</v>
      </c>
      <c r="C36" s="5" t="s">
        <v>2493</v>
      </c>
      <c r="D36" s="5" t="s">
        <v>2445</v>
      </c>
      <c r="E36" s="5" t="s">
        <v>2494</v>
      </c>
      <c r="F36" s="5" t="s">
        <v>2475</v>
      </c>
      <c r="G36" s="5" t="s">
        <v>2447</v>
      </c>
      <c r="H36" s="16" t="s">
        <v>2377</v>
      </c>
    </row>
    <row r="37" spans="1:8" ht="24" x14ac:dyDescent="0.25">
      <c r="A37" s="5" t="s">
        <v>2495</v>
      </c>
      <c r="B37" s="5" t="s">
        <v>2443</v>
      </c>
      <c r="C37" s="5" t="s">
        <v>2496</v>
      </c>
      <c r="D37" s="5" t="s">
        <v>2445</v>
      </c>
      <c r="E37" s="5" t="s">
        <v>2497</v>
      </c>
      <c r="F37" s="5" t="s">
        <v>2475</v>
      </c>
      <c r="G37" s="5" t="s">
        <v>2447</v>
      </c>
      <c r="H37" s="16" t="s">
        <v>2377</v>
      </c>
    </row>
    <row r="38" spans="1:8" ht="24" x14ac:dyDescent="0.25">
      <c r="A38" s="5" t="s">
        <v>2498</v>
      </c>
      <c r="B38" s="5" t="s">
        <v>2499</v>
      </c>
      <c r="C38" s="5" t="s">
        <v>2500</v>
      </c>
      <c r="D38" s="5" t="s">
        <v>2501</v>
      </c>
      <c r="E38" s="5" t="s">
        <v>1706</v>
      </c>
      <c r="F38" s="5" t="s">
        <v>2502</v>
      </c>
      <c r="G38" s="5" t="s">
        <v>2503</v>
      </c>
      <c r="H38" s="16" t="s">
        <v>2377</v>
      </c>
    </row>
    <row r="39" spans="1:8" ht="48" x14ac:dyDescent="0.25">
      <c r="A39" s="5" t="s">
        <v>2504</v>
      </c>
      <c r="B39" s="5" t="s">
        <v>2499</v>
      </c>
      <c r="C39" s="5" t="s">
        <v>2505</v>
      </c>
      <c r="D39" s="5" t="s">
        <v>2506</v>
      </c>
      <c r="E39" s="5" t="s">
        <v>2006</v>
      </c>
      <c r="F39" s="5" t="s">
        <v>2507</v>
      </c>
      <c r="G39" s="5" t="s">
        <v>2508</v>
      </c>
      <c r="H39" s="15" t="s">
        <v>2353</v>
      </c>
    </row>
    <row r="40" spans="1:8" ht="36" x14ac:dyDescent="0.25">
      <c r="A40" s="5" t="s">
        <v>2509</v>
      </c>
      <c r="B40" s="5" t="s">
        <v>2499</v>
      </c>
      <c r="C40" s="5" t="s">
        <v>2510</v>
      </c>
      <c r="D40" s="5" t="s">
        <v>2511</v>
      </c>
      <c r="E40" s="5" t="s">
        <v>106</v>
      </c>
      <c r="F40" s="5" t="s">
        <v>2512</v>
      </c>
      <c r="G40" s="5" t="s">
        <v>2513</v>
      </c>
      <c r="H40" s="15" t="s">
        <v>2353</v>
      </c>
    </row>
    <row r="41" spans="1:8" ht="24" x14ac:dyDescent="0.25">
      <c r="A41" s="5" t="s">
        <v>2514</v>
      </c>
      <c r="B41" s="5" t="s">
        <v>2499</v>
      </c>
      <c r="C41" s="5" t="s">
        <v>2515</v>
      </c>
      <c r="D41" s="5" t="s">
        <v>2516</v>
      </c>
      <c r="E41" s="5" t="s">
        <v>1722</v>
      </c>
      <c r="F41" s="5" t="s">
        <v>1727</v>
      </c>
      <c r="G41" s="5" t="s">
        <v>2517</v>
      </c>
      <c r="H41" s="16" t="s">
        <v>2377</v>
      </c>
    </row>
  </sheetData>
  <autoFilter ref="A1:H41" xr:uid="{00000000-0009-0000-0000-000004000000}"/>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Overview</vt:lpstr>
      <vt:lpstr>UI Fields</vt:lpstr>
      <vt:lpstr>PDF Fields</vt:lpstr>
      <vt:lpstr>UI→PDF Mapping</vt:lpstr>
      <vt:lpstr>Gaps</vt:lpstr>
      <vt:lpstr>Gaps!Print_Titles</vt:lpstr>
      <vt:lpstr>'PDF Fields'!Print_Titles</vt:lpstr>
      <vt:lpstr>'UI Fields'!Print_Titles</vt:lpstr>
      <vt:lpstr>'UI→PDF Mapping'!Print_Titles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2026-10-30T12:16:48Z</dcterms:created>
  <dcterms:modified xsi:type="dcterms:W3CDTF">2026-10-30T12:34:36Z</dcterms:modified>
</cp:coreProperties>
</file>